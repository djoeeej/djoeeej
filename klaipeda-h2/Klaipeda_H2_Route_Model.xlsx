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Routes" sheetId="3" state="visible" r:id="rId5"/>
    <sheet name="Capacity" sheetId="4" state="visible" r:id="rId6"/>
    <sheet name="Sensitiv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<sst xmlns="http://schemas.openxmlformats.org/spreadsheetml/2006/main" count="159" uniqueCount="134">
  <si>
    <t xml:space="preserve">Klaipėda Port green hydrogen – freight route model</t>
  </si>
  <si>
    <t xml:space="preserve">Portathon 2026 · Challenge 1: the most efficient hydrogen freight route in the EU</t>
  </si>
  <si>
    <t xml:space="preserve">What this does</t>
  </si>
  <si>
    <t xml:space="preserve">Compares hydrogen truck routes that start and end at the Port of Klaipėda hydrogen station, and checks the plan against the 127 t/yr the plant can make.</t>
  </si>
  <si>
    <t xml:space="preserve">How to use</t>
  </si>
  <si>
    <t xml:space="preserve">1. Change the yellow cells on the Inputs sheet (hydrogen price, diesel price, CO₂ price, trucks per route).</t>
  </si>
  <si>
    <t xml:space="preserve">2. Read the results on Routes (per truck), Capacity (whole plan) and Sensitivity (price × CO₂ grid).</t>
  </si>
  <si>
    <t xml:space="preserve">3. Everything else is a formula – do not overwrite it.</t>
  </si>
  <si>
    <t xml:space="preserve">Colour code</t>
  </si>
  <si>
    <t xml:space="preserve">Blue text = an input you can change · Black = formula · Green = pulled from another sheet · Yellow fill = key lever</t>
  </si>
  <si>
    <t xml:space="preserve">What is NOT in the numbers yet</t>
  </si>
  <si>
    <t xml:space="preserve">• The extra purchase / lease cost of a fuel-cell truck is 0 until you enter a real quote (Inputs, 'Truck cost premium').</t>
  </si>
  <si>
    <t xml:space="preserve">• Toll savings are 0 by default: Lithuania gives zero-emission trucks no discount today (a CO₂-based distance toll is coming).</t>
  </si>
  <si>
    <t xml:space="preserve">• Road distances are approximate – check them on a map before the pitch.</t>
  </si>
  <si>
    <t xml:space="preserve">Sources</t>
  </si>
  <si>
    <t xml:space="preserve">Plant 127 t/yr, 2.25 MW PEM, ~500 kg/day, 350 bar heavy-duty, ¼ for port's own use: manifoldtimes.com (Jun 2026), shipandbunker.com, interreg-baltic.eu HyTruck</t>
  </si>
  <si>
    <t xml:space="preserve">Truck tank 31.5 kg @ 350 bar, ~400 km, ~7 kg/100 km loaded: Hyundai XCIENT Fuel Cell (EU spec), ecv.hyundai.com</t>
  </si>
  <si>
    <t xml:space="preserve">ETS2 for road fuels starts 2028, price ceiling mechanism near €45/t: climate.ec.europa.eu</t>
  </si>
  <si>
    <t xml:space="preserve">€8/kg truck hydrogen deal in Germany (hylane + H2 MOBILITY, Jan 2026): h2.live</t>
  </si>
  <si>
    <t xml:space="preserve">€200/t CO₂ scenario and €8–30/kg price points: team's own workshop notes</t>
  </si>
  <si>
    <t xml:space="preserve">Inputs – change the blue numbers</t>
  </si>
  <si>
    <t xml:space="preserve">Yellow = the levers that matter most for the pitch</t>
  </si>
  <si>
    <t xml:space="preserve">Group</t>
  </si>
  <si>
    <t xml:space="preserve">Input</t>
  </si>
  <si>
    <t xml:space="preserve">Value</t>
  </si>
  <si>
    <t xml:space="preserve">Unit</t>
  </si>
  <si>
    <t xml:space="preserve">Source / note</t>
  </si>
  <si>
    <t xml:space="preserve">Plant</t>
  </si>
  <si>
    <t xml:space="preserve">Annual hydrogen output at full capacity</t>
  </si>
  <si>
    <t xml:space="preserve">kg/yr</t>
  </si>
  <si>
    <t xml:space="preserve">Port of Klaipėda, 2.25 MW PEM electrolyser (manifoldtimes.com, Jun 2026)</t>
  </si>
  <si>
    <t xml:space="preserve">Nameplate daily output</t>
  </si>
  <si>
    <t xml:space="preserve">kg/day</t>
  </si>
  <si>
    <t xml:space="preserve">interreg-baltic.eu HyTruck / press (team notes say ~530 kg/day)</t>
  </si>
  <si>
    <t xml:space="preserve">Share used by the port authority itself</t>
  </si>
  <si>
    <t xml:space="preserve">%</t>
  </si>
  <si>
    <t xml:space="preserve">Waste-collection vessel + Toyota Mirai; 'about one quarter' (press, Jun 2026)</t>
  </si>
  <si>
    <t xml:space="preserve">Prices</t>
  </si>
  <si>
    <t xml:space="preserve">Hydrogen selling price</t>
  </si>
  <si>
    <t xml:space="preserve">€/kg</t>
  </si>
  <si>
    <t xml:space="preserve">Pitch assumption: fixed pilot price. Germany truck deal is €8/kg net (h2.live); your notes show €13–30/kg retail</t>
  </si>
  <si>
    <t xml:space="preserve">Diesel price, excl. VAT</t>
  </si>
  <si>
    <t xml:space="preserve">€/L</t>
  </si>
  <si>
    <t xml:space="preserve">Assumption – replace with a current Lithuanian fleet-card price excl. VAT</t>
  </si>
  <si>
    <t xml:space="preserve">CO₂ price added to diesel</t>
  </si>
  <si>
    <t xml:space="preserve">€/t CO₂</t>
  </si>
  <si>
    <t xml:space="preserve">0 = today. ETS2 starts 2028 (~€45/t ceiling). Your notes: €70 and €200/t scenarios</t>
  </si>
  <si>
    <t xml:space="preserve">CO₂ per litre of diesel burned</t>
  </si>
  <si>
    <t xml:space="preserve">kg CO₂/L</t>
  </si>
  <si>
    <t xml:space="preserve">Standard tank-to-wheel factor for diesel (~2.64–2.68 kg/L)</t>
  </si>
  <si>
    <t xml:space="preserve">Truck</t>
  </si>
  <si>
    <t xml:space="preserve">Usable hydrogen tank (350 bar)</t>
  </si>
  <si>
    <t xml:space="preserve">kg</t>
  </si>
  <si>
    <t xml:space="preserve">Hyundai XCIENT Fuel Cell, EU spec (ecv.hyundai.com)</t>
  </si>
  <si>
    <t xml:space="preserve">Hydrogen use, loaded 40 t truck</t>
  </si>
  <si>
    <t xml:space="preserve">kg/100 km</t>
  </si>
  <si>
    <t xml:space="preserve">Hyundai quotes ~7 kg/100 km loaded; 7.5 used to stay conservative</t>
  </si>
  <si>
    <t xml:space="preserve">Diesel use, loaded 40 t truck</t>
  </si>
  <si>
    <t xml:space="preserve">L/100 km</t>
  </si>
  <si>
    <t xml:space="preserve">Assumption – typical EU long-haul 28–33 L/100 km</t>
  </si>
  <si>
    <t xml:space="preserve">Safety reserve left in tank</t>
  </si>
  <si>
    <t xml:space="preserve">Assumption – never plan to arrive empty</t>
  </si>
  <si>
    <t xml:space="preserve">Working days per year</t>
  </si>
  <si>
    <t xml:space="preserve">days</t>
  </si>
  <si>
    <t xml:space="preserve">Assumption</t>
  </si>
  <si>
    <t xml:space="preserve">Truck cost premium vs diesel (lease/yr)</t>
  </si>
  <si>
    <t xml:space="preserve">€/truck/yr</t>
  </si>
  <si>
    <t xml:space="preserve">NOT INCLUDED until you enter a dealer or lease quote</t>
  </si>
  <si>
    <t xml:space="preserve">Toll saving for zero-emission truck</t>
  </si>
  <si>
    <t xml:space="preserve">€/km</t>
  </si>
  <si>
    <t xml:space="preserve">0 in Lithuania today; Germany gives ~75% discount – only matters on German legs</t>
  </si>
  <si>
    <t xml:space="preserve">Route comparison – one truck per route, trucks start and end at Klaipėda</t>
  </si>
  <si>
    <t xml:space="preserve">Blue = route inputs (distance, trips, trucks). Everything else is calculated.</t>
  </si>
  <si>
    <t xml:space="preserve">Route</t>
  </si>
  <si>
    <t xml:space="preserve">Description</t>
  </si>
  <si>
    <t xml:space="preserve">One-way distance (km)</t>
  </si>
  <si>
    <t xml:space="preserve">Round trips per day</t>
  </si>
  <si>
    <t xml:space="preserve">Trucks in plan</t>
  </si>
  <si>
    <t xml:space="preserve">km per day</t>
  </si>
  <si>
    <t xml:space="preserve">H2 needed per day (kg)</t>
  </si>
  <si>
    <t xml:space="preserve">Usable tank (kg)</t>
  </si>
  <si>
    <t xml:space="preserve">Fits one fill?</t>
  </si>
  <si>
    <t xml:space="preserve">H2 per truck per year (kg)</t>
  </si>
  <si>
    <t xml:space="preserve">Diesel fuel cost (€/km)</t>
  </si>
  <si>
    <t xml:space="preserve">CO₂ cost on diesel (€/km)</t>
  </si>
  <si>
    <t xml:space="preserve">H2 fuel cost (€/km)</t>
  </si>
  <si>
    <t xml:space="preserve">Extra cost vs diesel (€/km)</t>
  </si>
  <si>
    <t xml:space="preserve">Extra cost per round trip (€)</t>
  </si>
  <si>
    <t xml:space="preserve">Extra cost per truck per year (€)</t>
  </si>
  <si>
    <t xml:space="preserve">CO₂ saved per truck (t/yr)</t>
  </si>
  <si>
    <t xml:space="preserve">Cost per t CO₂ avoided (€/t)</t>
  </si>
  <si>
    <t xml:space="preserve">H2 for all trucks on route (kg/yr)</t>
  </si>
  <si>
    <t xml:space="preserve">A</t>
  </si>
  <si>
    <t xml:space="preserve">Port-area shuttle: port ↔ Free Economic Zone, logistics parks, rail terminals</t>
  </si>
  <si>
    <t xml:space="preserve">B</t>
  </si>
  <si>
    <t xml:space="preserve">Klaipėda ↔ Šiauliai (daily shuttle)</t>
  </si>
  <si>
    <t xml:space="preserve">C</t>
  </si>
  <si>
    <t xml:space="preserve">Klaipėda ↔ Kaunas Intermodal Terminal (needs mobile refueller in Kaunas)</t>
  </si>
  <si>
    <t xml:space="preserve">D</t>
  </si>
  <si>
    <t xml:space="preserve">Klaipėda ↔ Vilnius (needs Vilnius station)</t>
  </si>
  <si>
    <t xml:space="preserve">E</t>
  </si>
  <si>
    <t xml:space="preserve">Klaipėda ↔ Riga (Riga station not green today)</t>
  </si>
  <si>
    <t xml:space="preserve">Notes</t>
  </si>
  <si>
    <t xml:space="preserve">Distances are approximate road km – verify on a map.</t>
  </si>
  <si>
    <t xml:space="preserve">Route A: 6 short round trips a day (~180 km) for a truck moving containers between the port and nearby sites.</t>
  </si>
  <si>
    <t xml:space="preserve">'Fits one fill?' checks one round trip against the tank minus the safety reserve. Route C/D/E need a refuel at the far end.</t>
  </si>
  <si>
    <t xml:space="preserve">Extra cost per truck per year includes the truck cost premium from Inputs (0 until you add a quote).</t>
  </si>
  <si>
    <t xml:space="preserve">CO₂ saved is tank-to-wheel for diesel replaced by green hydrogen.</t>
  </si>
  <si>
    <t xml:space="preserve">Does the plan fit the plant? – supply vs demand</t>
  </si>
  <si>
    <t xml:space="preserve">Green = pulled from Inputs/Routes. Change trucks per route on the Routes sheet.</t>
  </si>
  <si>
    <t xml:space="preserve">Item</t>
  </si>
  <si>
    <t xml:space="preserve">Plant output at full capacity</t>
  </si>
  <si>
    <t xml:space="preserve">Used by the port authority itself</t>
  </si>
  <si>
    <t xml:space="preserve">Available to sell</t>
  </si>
  <si>
    <t xml:space="preserve">Available to sell per working day</t>
  </si>
  <si>
    <t xml:space="preserve">Hydrogen needed by all trucks in the plan</t>
  </si>
  <si>
    <t xml:space="preserve">Share of sellable hydrogen used by the plan</t>
  </si>
  <si>
    <t xml:space="preserve">Hydrogen still unsold</t>
  </si>
  <si>
    <t xml:space="preserve">Plan demand on a working day</t>
  </si>
  <si>
    <t xml:space="preserve">Peak day fits nameplate daily output?</t>
  </si>
  <si>
    <t xml:space="preserve">Trucks on the plan</t>
  </si>
  <si>
    <t xml:space="preserve">trucks</t>
  </si>
  <si>
    <t xml:space="preserve">Route B trucks the sellable hydrogen could support</t>
  </si>
  <si>
    <t xml:space="preserve">Port revenue from the plan at the selected price</t>
  </si>
  <si>
    <t xml:space="preserve">€/yr</t>
  </si>
  <si>
    <t xml:space="preserve">Port revenue if all sellable hydrogen is sold</t>
  </si>
  <si>
    <t xml:space="preserve">CO₂ avoided by the plan</t>
  </si>
  <si>
    <t xml:space="preserve">t/yr</t>
  </si>
  <si>
    <t xml:space="preserve">Pilot volume to ask for (Routes A + B)</t>
  </si>
  <si>
    <t xml:space="preserve">Extra cost of hydrogen vs diesel, € per km – hydrogen price × CO₂ price</t>
  </si>
  <si>
    <t xml:space="preserve">Negative (in brackets) = hydrogen is cheaper per km. Fuel + CO₂ + toll only; truck premium excluded.</t>
  </si>
  <si>
    <t xml:space="preserve">H2 price (€/kg) ↓   CO₂ price (€/t) →</t>
  </si>
  <si>
    <t xml:space="preserve">Break-even H2 price (€/kg)</t>
  </si>
  <si>
    <t xml:space="preserve">CO₂ columns: 0 = today · 45 = ETS2 ceiling from 2028 · 70 and 200 = team notes · 100 = midpoint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</si>
</sst>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%;\(0.0%\);\-"/>
    <numFmt numFmtId="167" formatCode="\€0.00;&quot;(€&quot;0.00\);\-"/>
    <numFmt numFmtId="168" formatCode="\€#,##0;&quot;(€&quot;#,##0\);\-"/>
    <numFmt numFmtId="169" formatCode="0.00"/>
    <numFmt numFmtId="170" formatCode="#,##0.0;\(#,##0.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B254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8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D1"/>
      </left>
      <right style="thin">
        <color rgb="FFB7C4D1"/>
      </right>
      <top style="thin">
        <color rgb="FFB7C4D1"/>
      </top>
      <bottom style="thin">
        <color rgb="FFB7C4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1"/>
      <rgbColor rgb="FF808080"/>
      <rgbColor rgb="FF9999FF"/>
      <rgbColor rgb="FF993366"/>
      <rgbColor rgb="FFFFFFCC"/>
      <rgbColor rgb="FFDCE8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4" t="s">
        <v>11</v>
      </c>
    </row>
    <row r="17" customFormat="false" ht="15" hidden="false" customHeight="false" outlineLevel="0" collapsed="false">
      <c r="A17" s="4" t="s">
        <v>12</v>
      </c>
    </row>
    <row r="18" customFormat="false" ht="15" hidden="false" customHeight="false" outlineLevel="0" collapsed="false">
      <c r="A18" s="4" t="s">
        <v>13</v>
      </c>
    </row>
    <row r="19" customFormat="false" ht="15" hidden="false" customHeight="false" outlineLevel="0" collapsed="false">
      <c r="A19" s="4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4" t="s">
        <v>15</v>
      </c>
    </row>
    <row r="22" customFormat="false" ht="15" hidden="false" customHeight="false" outlineLevel="0" collapsed="false">
      <c r="A22" s="4" t="s">
        <v>16</v>
      </c>
    </row>
    <row r="23" customFormat="false" ht="15" hidden="false" customHeight="false" outlineLevel="0" collapsed="false">
      <c r="A23" s="4" t="s">
        <v>17</v>
      </c>
    </row>
    <row r="24" customFormat="false" ht="15" hidden="false" customHeight="false" outlineLevel="0" collapsed="false">
      <c r="A24" s="4" t="s">
        <v>18</v>
      </c>
    </row>
    <row r="25" customFormat="false" ht="15" hidden="false" customHeight="false" outlineLevel="0" collapsed="false">
      <c r="A25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15" hidden="false" customHeight="fals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</row>
    <row r="5" customFormat="false" ht="15" hidden="false" customHeight="false" outlineLevel="0" collapsed="false">
      <c r="A5" s="6" t="s">
        <v>27</v>
      </c>
      <c r="B5" s="6" t="s">
        <v>28</v>
      </c>
      <c r="C5" s="7" t="n">
        <v>127000</v>
      </c>
      <c r="D5" s="8" t="s">
        <v>29</v>
      </c>
      <c r="E5" s="9" t="s">
        <v>30</v>
      </c>
    </row>
    <row r="6" customFormat="false" ht="15" hidden="false" customHeight="false" outlineLevel="0" collapsed="false">
      <c r="A6" s="6" t="s">
        <v>27</v>
      </c>
      <c r="B6" s="6" t="s">
        <v>31</v>
      </c>
      <c r="C6" s="7" t="n">
        <v>500</v>
      </c>
      <c r="D6" s="8" t="s">
        <v>32</v>
      </c>
      <c r="E6" s="9" t="s">
        <v>33</v>
      </c>
    </row>
    <row r="7" customFormat="false" ht="15" hidden="false" customHeight="false" outlineLevel="0" collapsed="false">
      <c r="A7" s="6" t="s">
        <v>27</v>
      </c>
      <c r="B7" s="6" t="s">
        <v>34</v>
      </c>
      <c r="C7" s="10" t="n">
        <v>0.25</v>
      </c>
      <c r="D7" s="8" t="s">
        <v>35</v>
      </c>
      <c r="E7" s="9" t="s">
        <v>36</v>
      </c>
    </row>
    <row r="8" customFormat="false" ht="15" hidden="false" customHeight="false" outlineLevel="0" collapsed="false">
      <c r="A8" s="6" t="s">
        <v>37</v>
      </c>
      <c r="B8" s="6" t="s">
        <v>38</v>
      </c>
      <c r="C8" s="11" t="n">
        <v>8</v>
      </c>
      <c r="D8" s="8" t="s">
        <v>39</v>
      </c>
      <c r="E8" s="9" t="s">
        <v>40</v>
      </c>
    </row>
    <row r="9" customFormat="false" ht="15" hidden="false" customHeight="false" outlineLevel="0" collapsed="false">
      <c r="A9" s="6" t="s">
        <v>37</v>
      </c>
      <c r="B9" s="6" t="s">
        <v>41</v>
      </c>
      <c r="C9" s="11" t="n">
        <v>1.2</v>
      </c>
      <c r="D9" s="8" t="s">
        <v>42</v>
      </c>
      <c r="E9" s="9" t="s">
        <v>43</v>
      </c>
    </row>
    <row r="10" customFormat="false" ht="15" hidden="false" customHeight="false" outlineLevel="0" collapsed="false">
      <c r="A10" s="6" t="s">
        <v>37</v>
      </c>
      <c r="B10" s="6" t="s">
        <v>44</v>
      </c>
      <c r="C10" s="12" t="n">
        <v>0</v>
      </c>
      <c r="D10" s="8" t="s">
        <v>45</v>
      </c>
      <c r="E10" s="9" t="s">
        <v>46</v>
      </c>
    </row>
    <row r="11" customFormat="false" ht="15" hidden="false" customHeight="false" outlineLevel="0" collapsed="false">
      <c r="A11" s="6" t="s">
        <v>37</v>
      </c>
      <c r="B11" s="6" t="s">
        <v>47</v>
      </c>
      <c r="C11" s="13" t="n">
        <v>2.65</v>
      </c>
      <c r="D11" s="8" t="s">
        <v>48</v>
      </c>
      <c r="E11" s="9" t="s">
        <v>49</v>
      </c>
    </row>
    <row r="12" customFormat="false" ht="15" hidden="false" customHeight="false" outlineLevel="0" collapsed="false">
      <c r="A12" s="6" t="s">
        <v>50</v>
      </c>
      <c r="B12" s="6" t="s">
        <v>51</v>
      </c>
      <c r="C12" s="14" t="n">
        <v>31.5</v>
      </c>
      <c r="D12" s="8" t="s">
        <v>52</v>
      </c>
      <c r="E12" s="9" t="s">
        <v>53</v>
      </c>
    </row>
    <row r="13" customFormat="false" ht="15" hidden="false" customHeight="false" outlineLevel="0" collapsed="false">
      <c r="A13" s="6" t="s">
        <v>50</v>
      </c>
      <c r="B13" s="6" t="s">
        <v>54</v>
      </c>
      <c r="C13" s="14" t="n">
        <v>7.5</v>
      </c>
      <c r="D13" s="8" t="s">
        <v>55</v>
      </c>
      <c r="E13" s="9" t="s">
        <v>56</v>
      </c>
    </row>
    <row r="14" customFormat="false" ht="15" hidden="false" customHeight="false" outlineLevel="0" collapsed="false">
      <c r="A14" s="6" t="s">
        <v>50</v>
      </c>
      <c r="B14" s="6" t="s">
        <v>57</v>
      </c>
      <c r="C14" s="14" t="n">
        <v>30</v>
      </c>
      <c r="D14" s="8" t="s">
        <v>58</v>
      </c>
      <c r="E14" s="9" t="s">
        <v>59</v>
      </c>
    </row>
    <row r="15" customFormat="false" ht="15" hidden="false" customHeight="false" outlineLevel="0" collapsed="false">
      <c r="A15" s="6" t="s">
        <v>50</v>
      </c>
      <c r="B15" s="6" t="s">
        <v>60</v>
      </c>
      <c r="C15" s="10" t="n">
        <v>0.15</v>
      </c>
      <c r="D15" s="8" t="s">
        <v>35</v>
      </c>
      <c r="E15" s="9" t="s">
        <v>61</v>
      </c>
    </row>
    <row r="16" customFormat="false" ht="15" hidden="false" customHeight="false" outlineLevel="0" collapsed="false">
      <c r="A16" s="6" t="s">
        <v>50</v>
      </c>
      <c r="B16" s="6" t="s">
        <v>62</v>
      </c>
      <c r="C16" s="7" t="n">
        <v>250</v>
      </c>
      <c r="D16" s="8" t="s">
        <v>63</v>
      </c>
      <c r="E16" s="9" t="s">
        <v>64</v>
      </c>
    </row>
    <row r="17" customFormat="false" ht="15" hidden="false" customHeight="false" outlineLevel="0" collapsed="false">
      <c r="A17" s="6" t="s">
        <v>50</v>
      </c>
      <c r="B17" s="6" t="s">
        <v>65</v>
      </c>
      <c r="C17" s="12" t="n">
        <v>0</v>
      </c>
      <c r="D17" s="8" t="s">
        <v>66</v>
      </c>
      <c r="E17" s="9" t="s">
        <v>67</v>
      </c>
    </row>
    <row r="18" customFormat="false" ht="15" hidden="false" customHeight="false" outlineLevel="0" collapsed="false">
      <c r="A18" s="6" t="s">
        <v>50</v>
      </c>
      <c r="B18" s="6" t="s">
        <v>68</v>
      </c>
      <c r="C18" s="15" t="n">
        <v>0</v>
      </c>
      <c r="D18" s="8" t="s">
        <v>69</v>
      </c>
      <c r="E18" s="9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5" min="14" style="0" width="12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19" min="19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57.75" hidden="false" customHeight="true" outlineLevel="0" collapsed="false">
      <c r="A4" s="5" t="s">
        <v>73</v>
      </c>
      <c r="B4" s="5" t="s">
        <v>74</v>
      </c>
      <c r="C4" s="5" t="s">
        <v>75</v>
      </c>
      <c r="D4" s="5" t="s">
        <v>76</v>
      </c>
      <c r="E4" s="5" t="s">
        <v>77</v>
      </c>
      <c r="F4" s="5" t="s">
        <v>78</v>
      </c>
      <c r="G4" s="5" t="s">
        <v>79</v>
      </c>
      <c r="H4" s="5" t="s">
        <v>80</v>
      </c>
      <c r="I4" s="5" t="s">
        <v>81</v>
      </c>
      <c r="J4" s="5" t="s">
        <v>82</v>
      </c>
      <c r="K4" s="5" t="s">
        <v>83</v>
      </c>
      <c r="L4" s="5" t="s">
        <v>84</v>
      </c>
      <c r="M4" s="5" t="s">
        <v>85</v>
      </c>
      <c r="N4" s="5" t="s">
        <v>86</v>
      </c>
      <c r="O4" s="5" t="s">
        <v>87</v>
      </c>
      <c r="P4" s="5" t="s">
        <v>88</v>
      </c>
      <c r="Q4" s="5" t="s">
        <v>89</v>
      </c>
      <c r="R4" s="5" t="s">
        <v>90</v>
      </c>
      <c r="S4" s="5" t="s">
        <v>91</v>
      </c>
    </row>
    <row r="5" customFormat="false" ht="23.85" hidden="false" customHeight="false" outlineLevel="0" collapsed="false">
      <c r="A5" s="16" t="s">
        <v>92</v>
      </c>
      <c r="B5" s="17" t="s">
        <v>93</v>
      </c>
      <c r="C5" s="18" t="n">
        <v>15</v>
      </c>
      <c r="D5" s="18" t="n">
        <v>6</v>
      </c>
      <c r="E5" s="19" t="n">
        <v>4</v>
      </c>
      <c r="F5" s="20" t="n">
        <f aca="false">2*C5*D5</f>
        <v>180</v>
      </c>
      <c r="G5" s="21" t="n">
        <f aca="false">F5*Inputs!$C$13/100</f>
        <v>13.5</v>
      </c>
      <c r="H5" s="22" t="n">
        <f aca="false">Inputs!$C$12*(1-Inputs!$C$15)</f>
        <v>26.775</v>
      </c>
      <c r="I5" s="23" t="str">
        <f aca="false">IF(G5/D5&lt;=H5,"Yes","No – refuel at far end")</f>
        <v>Yes</v>
      </c>
      <c r="J5" s="20" t="n">
        <f aca="false">G5*Inputs!$C$16</f>
        <v>3375</v>
      </c>
      <c r="K5" s="24" t="n">
        <f aca="false">Inputs!$C$14/100*Inputs!$C$9</f>
        <v>0.36</v>
      </c>
      <c r="L5" s="25" t="n">
        <f aca="false">Inputs!$C$14/100*Inputs!$C$11/1000*Inputs!$C$10</f>
        <v>0</v>
      </c>
      <c r="M5" s="24" t="n">
        <f aca="false">Inputs!$C$13/100*Inputs!$C$8</f>
        <v>0.6</v>
      </c>
      <c r="N5" s="25" t="n">
        <f aca="false">M5-K5-L5-Inputs!$C$18</f>
        <v>0.24</v>
      </c>
      <c r="O5" s="26" t="n">
        <f aca="false">N5*2*C5</f>
        <v>7.2</v>
      </c>
      <c r="P5" s="26" t="n">
        <f aca="false">N5*F5*Inputs!$C$16+Inputs!$C$17</f>
        <v>10800</v>
      </c>
      <c r="Q5" s="21" t="n">
        <f aca="false">F5*Inputs!$C$16*Inputs!$C$14/100*Inputs!$C$11/1000</f>
        <v>35.775</v>
      </c>
      <c r="R5" s="26" t="n">
        <f aca="false">IF(Q5&gt;0,P5/Q5,0)</f>
        <v>301.88679245283</v>
      </c>
      <c r="S5" s="20" t="n">
        <f aca="false">J5*E5</f>
        <v>13500</v>
      </c>
    </row>
    <row r="6" customFormat="false" ht="15" hidden="false" customHeight="false" outlineLevel="0" collapsed="false">
      <c r="A6" s="16" t="s">
        <v>94</v>
      </c>
      <c r="B6" s="17" t="s">
        <v>95</v>
      </c>
      <c r="C6" s="18" t="n">
        <v>160</v>
      </c>
      <c r="D6" s="18" t="n">
        <v>1</v>
      </c>
      <c r="E6" s="19" t="n">
        <v>3</v>
      </c>
      <c r="F6" s="20" t="n">
        <f aca="false">2*C6*D6</f>
        <v>320</v>
      </c>
      <c r="G6" s="21" t="n">
        <f aca="false">F6*Inputs!$C$13/100</f>
        <v>24</v>
      </c>
      <c r="H6" s="22" t="n">
        <f aca="false">Inputs!$C$12*(1-Inputs!$C$15)</f>
        <v>26.775</v>
      </c>
      <c r="I6" s="23" t="str">
        <f aca="false">IF(G6/D6&lt;=H6,"Yes","No – refuel at far end")</f>
        <v>Yes</v>
      </c>
      <c r="J6" s="20" t="n">
        <f aca="false">G6*Inputs!$C$16</f>
        <v>6000</v>
      </c>
      <c r="K6" s="24" t="n">
        <f aca="false">Inputs!$C$14/100*Inputs!$C$9</f>
        <v>0.36</v>
      </c>
      <c r="L6" s="25" t="n">
        <f aca="false">Inputs!$C$14/100*Inputs!$C$11/1000*Inputs!$C$10</f>
        <v>0</v>
      </c>
      <c r="M6" s="24" t="n">
        <f aca="false">Inputs!$C$13/100*Inputs!$C$8</f>
        <v>0.6</v>
      </c>
      <c r="N6" s="25" t="n">
        <f aca="false">M6-K6-L6-Inputs!$C$18</f>
        <v>0.24</v>
      </c>
      <c r="O6" s="26" t="n">
        <f aca="false">N6*2*C6</f>
        <v>76.8</v>
      </c>
      <c r="P6" s="26" t="n">
        <f aca="false">N6*F6*Inputs!$C$16+Inputs!$C$17</f>
        <v>19200</v>
      </c>
      <c r="Q6" s="21" t="n">
        <f aca="false">F6*Inputs!$C$16*Inputs!$C$14/100*Inputs!$C$11/1000</f>
        <v>63.6</v>
      </c>
      <c r="R6" s="26" t="n">
        <f aca="false">IF(Q6&gt;0,P6/Q6,0)</f>
        <v>301.88679245283</v>
      </c>
      <c r="S6" s="20" t="n">
        <f aca="false">J6*E6</f>
        <v>18000</v>
      </c>
    </row>
    <row r="7" customFormat="false" ht="23.85" hidden="false" customHeight="false" outlineLevel="0" collapsed="false">
      <c r="A7" s="16" t="s">
        <v>96</v>
      </c>
      <c r="B7" s="17" t="s">
        <v>97</v>
      </c>
      <c r="C7" s="18" t="n">
        <v>215</v>
      </c>
      <c r="D7" s="18" t="n">
        <v>1</v>
      </c>
      <c r="E7" s="19" t="n">
        <v>3</v>
      </c>
      <c r="F7" s="20" t="n">
        <f aca="false">2*C7*D7</f>
        <v>430</v>
      </c>
      <c r="G7" s="21" t="n">
        <f aca="false">F7*Inputs!$C$13/100</f>
        <v>32.25</v>
      </c>
      <c r="H7" s="22" t="n">
        <f aca="false">Inputs!$C$12*(1-Inputs!$C$15)</f>
        <v>26.775</v>
      </c>
      <c r="I7" s="23" t="str">
        <f aca="false">IF(G7/D7&lt;=H7,"Yes","No – refuel at far end")</f>
        <v>No – refuel at far end</v>
      </c>
      <c r="J7" s="20" t="n">
        <f aca="false">G7*Inputs!$C$16</f>
        <v>8062.5</v>
      </c>
      <c r="K7" s="24" t="n">
        <f aca="false">Inputs!$C$14/100*Inputs!$C$9</f>
        <v>0.36</v>
      </c>
      <c r="L7" s="25" t="n">
        <f aca="false">Inputs!$C$14/100*Inputs!$C$11/1000*Inputs!$C$10</f>
        <v>0</v>
      </c>
      <c r="M7" s="24" t="n">
        <f aca="false">Inputs!$C$13/100*Inputs!$C$8</f>
        <v>0.6</v>
      </c>
      <c r="N7" s="25" t="n">
        <f aca="false">M7-K7-L7-Inputs!$C$18</f>
        <v>0.24</v>
      </c>
      <c r="O7" s="26" t="n">
        <f aca="false">N7*2*C7</f>
        <v>103.2</v>
      </c>
      <c r="P7" s="26" t="n">
        <f aca="false">N7*F7*Inputs!$C$16+Inputs!$C$17</f>
        <v>25800</v>
      </c>
      <c r="Q7" s="21" t="n">
        <f aca="false">F7*Inputs!$C$16*Inputs!$C$14/100*Inputs!$C$11/1000</f>
        <v>85.4625</v>
      </c>
      <c r="R7" s="26" t="n">
        <f aca="false">IF(Q7&gt;0,P7/Q7,0)</f>
        <v>301.88679245283</v>
      </c>
      <c r="S7" s="20" t="n">
        <f aca="false">J7*E7</f>
        <v>24187.5</v>
      </c>
    </row>
    <row r="8" customFormat="false" ht="15" hidden="false" customHeight="false" outlineLevel="0" collapsed="false">
      <c r="A8" s="16" t="s">
        <v>98</v>
      </c>
      <c r="B8" s="17" t="s">
        <v>99</v>
      </c>
      <c r="C8" s="18" t="n">
        <v>310</v>
      </c>
      <c r="D8" s="18" t="n">
        <v>1</v>
      </c>
      <c r="E8" s="19" t="n">
        <v>0</v>
      </c>
      <c r="F8" s="20" t="n">
        <f aca="false">2*C8*D8</f>
        <v>620</v>
      </c>
      <c r="G8" s="21" t="n">
        <f aca="false">F8*Inputs!$C$13/100</f>
        <v>46.5</v>
      </c>
      <c r="H8" s="22" t="n">
        <f aca="false">Inputs!$C$12*(1-Inputs!$C$15)</f>
        <v>26.775</v>
      </c>
      <c r="I8" s="23" t="str">
        <f aca="false">IF(G8/D8&lt;=H8,"Yes","No – refuel at far end")</f>
        <v>No – refuel at far end</v>
      </c>
      <c r="J8" s="20" t="n">
        <f aca="false">G8*Inputs!$C$16</f>
        <v>11625</v>
      </c>
      <c r="K8" s="24" t="n">
        <f aca="false">Inputs!$C$14/100*Inputs!$C$9</f>
        <v>0.36</v>
      </c>
      <c r="L8" s="25" t="n">
        <f aca="false">Inputs!$C$14/100*Inputs!$C$11/1000*Inputs!$C$10</f>
        <v>0</v>
      </c>
      <c r="M8" s="24" t="n">
        <f aca="false">Inputs!$C$13/100*Inputs!$C$8</f>
        <v>0.6</v>
      </c>
      <c r="N8" s="25" t="n">
        <f aca="false">M8-K8-L8-Inputs!$C$18</f>
        <v>0.24</v>
      </c>
      <c r="O8" s="26" t="n">
        <f aca="false">N8*2*C8</f>
        <v>148.8</v>
      </c>
      <c r="P8" s="26" t="n">
        <f aca="false">N8*F8*Inputs!$C$16+Inputs!$C$17</f>
        <v>37200</v>
      </c>
      <c r="Q8" s="21" t="n">
        <f aca="false">F8*Inputs!$C$16*Inputs!$C$14/100*Inputs!$C$11/1000</f>
        <v>123.225</v>
      </c>
      <c r="R8" s="26" t="n">
        <f aca="false">IF(Q8&gt;0,P8/Q8,0)</f>
        <v>301.88679245283</v>
      </c>
      <c r="S8" s="20" t="n">
        <f aca="false">J8*E8</f>
        <v>0</v>
      </c>
    </row>
    <row r="9" customFormat="false" ht="15" hidden="false" customHeight="false" outlineLevel="0" collapsed="false">
      <c r="A9" s="16" t="s">
        <v>100</v>
      </c>
      <c r="B9" s="17" t="s">
        <v>101</v>
      </c>
      <c r="C9" s="18" t="n">
        <v>310</v>
      </c>
      <c r="D9" s="18" t="n">
        <v>1</v>
      </c>
      <c r="E9" s="19" t="n">
        <v>0</v>
      </c>
      <c r="F9" s="20" t="n">
        <f aca="false">2*C9*D9</f>
        <v>620</v>
      </c>
      <c r="G9" s="21" t="n">
        <f aca="false">F9*Inputs!$C$13/100</f>
        <v>46.5</v>
      </c>
      <c r="H9" s="22" t="n">
        <f aca="false">Inputs!$C$12*(1-Inputs!$C$15)</f>
        <v>26.775</v>
      </c>
      <c r="I9" s="23" t="str">
        <f aca="false">IF(G9/D9&lt;=H9,"Yes","No – refuel at far end")</f>
        <v>No – refuel at far end</v>
      </c>
      <c r="J9" s="20" t="n">
        <f aca="false">G9*Inputs!$C$16</f>
        <v>11625</v>
      </c>
      <c r="K9" s="24" t="n">
        <f aca="false">Inputs!$C$14/100*Inputs!$C$9</f>
        <v>0.36</v>
      </c>
      <c r="L9" s="25" t="n">
        <f aca="false">Inputs!$C$14/100*Inputs!$C$11/1000*Inputs!$C$10</f>
        <v>0</v>
      </c>
      <c r="M9" s="24" t="n">
        <f aca="false">Inputs!$C$13/100*Inputs!$C$8</f>
        <v>0.6</v>
      </c>
      <c r="N9" s="25" t="n">
        <f aca="false">M9-K9-L9-Inputs!$C$18</f>
        <v>0.24</v>
      </c>
      <c r="O9" s="26" t="n">
        <f aca="false">N9*2*C9</f>
        <v>148.8</v>
      </c>
      <c r="P9" s="26" t="n">
        <f aca="false">N9*F9*Inputs!$C$16+Inputs!$C$17</f>
        <v>37200</v>
      </c>
      <c r="Q9" s="21" t="n">
        <f aca="false">F9*Inputs!$C$16*Inputs!$C$14/100*Inputs!$C$11/1000</f>
        <v>123.225</v>
      </c>
      <c r="R9" s="26" t="n">
        <f aca="false">IF(Q9&gt;0,P9/Q9,0)</f>
        <v>301.88679245283</v>
      </c>
      <c r="S9" s="20" t="n">
        <f aca="false">J9*E9</f>
        <v>0</v>
      </c>
    </row>
    <row r="11" customFormat="false" ht="15" hidden="false" customHeight="false" outlineLevel="0" collapsed="false">
      <c r="A11" s="27" t="s">
        <v>102</v>
      </c>
    </row>
    <row r="12" customFormat="false" ht="15" hidden="false" customHeight="false" outlineLevel="0" collapsed="false">
      <c r="A12" s="2" t="s">
        <v>103</v>
      </c>
    </row>
    <row r="13" customFormat="false" ht="15" hidden="false" customHeight="false" outlineLevel="0" collapsed="false">
      <c r="A13" s="2" t="s">
        <v>104</v>
      </c>
    </row>
    <row r="14" customFormat="false" ht="15" hidden="false" customHeight="false" outlineLevel="0" collapsed="false">
      <c r="A14" s="2" t="s">
        <v>105</v>
      </c>
    </row>
    <row r="15" customFormat="false" ht="15" hidden="false" customHeight="false" outlineLevel="0" collapsed="false">
      <c r="A15" s="2" t="s">
        <v>106</v>
      </c>
    </row>
    <row r="16" customFormat="false" ht="15" hidden="false" customHeight="false" outlineLevel="0" collapsed="false">
      <c r="A16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15" hidden="false" customHeight="false" outlineLevel="0" collapsed="false">
      <c r="A4" s="5" t="s">
        <v>110</v>
      </c>
      <c r="B4" s="5" t="s">
        <v>24</v>
      </c>
      <c r="C4" s="5" t="s">
        <v>25</v>
      </c>
    </row>
    <row r="5" customFormat="false" ht="15" hidden="false" customHeight="false" outlineLevel="0" collapsed="false">
      <c r="A5" s="6" t="s">
        <v>111</v>
      </c>
      <c r="B5" s="28" t="n">
        <f aca="false">Inputs!$C$5</f>
        <v>127000</v>
      </c>
      <c r="C5" s="8" t="s">
        <v>29</v>
      </c>
    </row>
    <row r="6" customFormat="false" ht="15" hidden="false" customHeight="false" outlineLevel="0" collapsed="false">
      <c r="A6" s="6" t="s">
        <v>112</v>
      </c>
      <c r="B6" s="29" t="n">
        <f aca="false">B5*Inputs!$C$7</f>
        <v>31750</v>
      </c>
      <c r="C6" s="8" t="s">
        <v>29</v>
      </c>
    </row>
    <row r="7" customFormat="false" ht="15" hidden="false" customHeight="false" outlineLevel="0" collapsed="false">
      <c r="A7" s="6" t="s">
        <v>113</v>
      </c>
      <c r="B7" s="30" t="n">
        <f aca="false">B5-B6</f>
        <v>95250</v>
      </c>
      <c r="C7" s="8" t="s">
        <v>29</v>
      </c>
    </row>
    <row r="8" customFormat="false" ht="15" hidden="false" customHeight="false" outlineLevel="0" collapsed="false">
      <c r="A8" s="6" t="s">
        <v>114</v>
      </c>
      <c r="B8" s="29" t="n">
        <f aca="false">B7/Inputs!$C$16</f>
        <v>381</v>
      </c>
      <c r="C8" s="8" t="s">
        <v>32</v>
      </c>
    </row>
    <row r="9" customFormat="false" ht="15" hidden="false" customHeight="false" outlineLevel="0" collapsed="false">
      <c r="A9" s="6" t="s">
        <v>115</v>
      </c>
      <c r="B9" s="28" t="n">
        <f aca="false">SUM(Routes!S5:S9)</f>
        <v>55687.5</v>
      </c>
      <c r="C9" s="8" t="s">
        <v>29</v>
      </c>
    </row>
    <row r="10" customFormat="false" ht="15" hidden="false" customHeight="false" outlineLevel="0" collapsed="false">
      <c r="A10" s="6" t="s">
        <v>116</v>
      </c>
      <c r="B10" s="31" t="n">
        <f aca="false">IF(B7&gt;0,B9/B7,0)</f>
        <v>0.584645669291339</v>
      </c>
      <c r="C10" s="8" t="s">
        <v>35</v>
      </c>
    </row>
    <row r="11" customFormat="false" ht="15" hidden="false" customHeight="false" outlineLevel="0" collapsed="false">
      <c r="A11" s="6" t="s">
        <v>117</v>
      </c>
      <c r="B11" s="29" t="n">
        <f aca="false">B7-B9</f>
        <v>39562.5</v>
      </c>
      <c r="C11" s="8" t="s">
        <v>29</v>
      </c>
    </row>
    <row r="12" customFormat="false" ht="15" hidden="false" customHeight="false" outlineLevel="0" collapsed="false">
      <c r="A12" s="6" t="s">
        <v>118</v>
      </c>
      <c r="B12" s="28" t="n">
        <f aca="false">SUMPRODUCT(Routes!G5:G9,Routes!E5:E9)</f>
        <v>222.75</v>
      </c>
      <c r="C12" s="8" t="s">
        <v>32</v>
      </c>
    </row>
    <row r="13" customFormat="false" ht="15" hidden="false" customHeight="false" outlineLevel="0" collapsed="false">
      <c r="A13" s="6" t="s">
        <v>119</v>
      </c>
      <c r="B13" s="6" t="str">
        <f aca="false">IF(B12+B6/Inputs!$C$16&lt;=Inputs!$C$6,"Yes","No – add storage or stagger fills")</f>
        <v>Yes</v>
      </c>
      <c r="C13" s="8"/>
    </row>
    <row r="14" customFormat="false" ht="15" hidden="false" customHeight="false" outlineLevel="0" collapsed="false">
      <c r="A14" s="6" t="s">
        <v>120</v>
      </c>
      <c r="B14" s="28" t="n">
        <f aca="false">SUM(Routes!E5:E9)</f>
        <v>10</v>
      </c>
      <c r="C14" s="8" t="s">
        <v>121</v>
      </c>
    </row>
    <row r="15" customFormat="false" ht="15" hidden="false" customHeight="false" outlineLevel="0" collapsed="false">
      <c r="A15" s="6" t="s">
        <v>122</v>
      </c>
      <c r="B15" s="32" t="n">
        <f aca="false">IF(Routes!J6&gt;0,B7/Routes!J6,0)</f>
        <v>15.875</v>
      </c>
      <c r="C15" s="8" t="s">
        <v>121</v>
      </c>
    </row>
    <row r="16" customFormat="false" ht="15" hidden="false" customHeight="false" outlineLevel="0" collapsed="false">
      <c r="A16" s="6" t="s">
        <v>123</v>
      </c>
      <c r="B16" s="33" t="n">
        <f aca="false">B9*Inputs!$C$8</f>
        <v>445500</v>
      </c>
      <c r="C16" s="8" t="s">
        <v>124</v>
      </c>
    </row>
    <row r="17" customFormat="false" ht="15" hidden="false" customHeight="false" outlineLevel="0" collapsed="false">
      <c r="A17" s="6" t="s">
        <v>125</v>
      </c>
      <c r="B17" s="34" t="n">
        <f aca="false">B7*Inputs!$C$8</f>
        <v>762000</v>
      </c>
      <c r="C17" s="8" t="s">
        <v>124</v>
      </c>
    </row>
    <row r="18" customFormat="false" ht="15" hidden="false" customHeight="false" outlineLevel="0" collapsed="false">
      <c r="A18" s="6" t="s">
        <v>126</v>
      </c>
      <c r="B18" s="32" t="n">
        <f aca="false">SUMPRODUCT(Routes!Q5:Q9,Routes!E5:E9)</f>
        <v>590.2875</v>
      </c>
      <c r="C18" s="8" t="s">
        <v>127</v>
      </c>
    </row>
    <row r="19" customFormat="false" ht="15" hidden="false" customHeight="false" outlineLevel="0" collapsed="false">
      <c r="A19" s="6" t="s">
        <v>128</v>
      </c>
      <c r="B19" s="35" t="n">
        <f aca="false">Routes!S5+Routes!S6</f>
        <v>31500</v>
      </c>
      <c r="C19" s="8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27" t="s">
        <v>131</v>
      </c>
      <c r="B4" s="36" t="n">
        <v>0</v>
      </c>
      <c r="C4" s="36" t="n">
        <v>45</v>
      </c>
      <c r="D4" s="36" t="n">
        <v>70</v>
      </c>
      <c r="E4" s="36" t="n">
        <v>100</v>
      </c>
      <c r="F4" s="36" t="n">
        <v>200</v>
      </c>
    </row>
    <row r="5" customFormat="false" ht="15" hidden="false" customHeight="false" outlineLevel="0" collapsed="false">
      <c r="A5" s="37" t="n">
        <v>5</v>
      </c>
      <c r="B5" s="38" t="n">
        <f aca="false">$A5*Inputs!$C$13/100-Inputs!$C$14/100*(Inputs!$C$9+Inputs!$C$11/1000*B$4)-Inputs!$C$18</f>
        <v>0.015</v>
      </c>
      <c r="C5" s="38" t="n">
        <f aca="false">$A5*Inputs!$C$13/100-Inputs!$C$14/100*(Inputs!$C$9+Inputs!$C$11/1000*C$4)-Inputs!$C$18</f>
        <v>-0.020775</v>
      </c>
      <c r="D5" s="38" t="n">
        <f aca="false">$A5*Inputs!$C$13/100-Inputs!$C$14/100*(Inputs!$C$9+Inputs!$C$11/1000*D$4)-Inputs!$C$18</f>
        <v>-0.04065</v>
      </c>
      <c r="E5" s="38" t="n">
        <f aca="false">$A5*Inputs!$C$13/100-Inputs!$C$14/100*(Inputs!$C$9+Inputs!$C$11/1000*E$4)-Inputs!$C$18</f>
        <v>-0.0645</v>
      </c>
      <c r="F5" s="38" t="n">
        <f aca="false">$A5*Inputs!$C$13/100-Inputs!$C$14/100*(Inputs!$C$9+Inputs!$C$11/1000*F$4)-Inputs!$C$18</f>
        <v>-0.144</v>
      </c>
    </row>
    <row r="6" customFormat="false" ht="15" hidden="false" customHeight="false" outlineLevel="0" collapsed="false">
      <c r="A6" s="37" t="n">
        <v>6</v>
      </c>
      <c r="B6" s="38" t="n">
        <f aca="false">$A6*Inputs!$C$13/100-Inputs!$C$14/100*(Inputs!$C$9+Inputs!$C$11/1000*B$4)-Inputs!$C$18</f>
        <v>0.09</v>
      </c>
      <c r="C6" s="38" t="n">
        <f aca="false">$A6*Inputs!$C$13/100-Inputs!$C$14/100*(Inputs!$C$9+Inputs!$C$11/1000*C$4)-Inputs!$C$18</f>
        <v>0.054225</v>
      </c>
      <c r="D6" s="38" t="n">
        <f aca="false">$A6*Inputs!$C$13/100-Inputs!$C$14/100*(Inputs!$C$9+Inputs!$C$11/1000*D$4)-Inputs!$C$18</f>
        <v>0.0343500000000001</v>
      </c>
      <c r="E6" s="38" t="n">
        <f aca="false">$A6*Inputs!$C$13/100-Inputs!$C$14/100*(Inputs!$C$9+Inputs!$C$11/1000*E$4)-Inputs!$C$18</f>
        <v>0.0105000000000001</v>
      </c>
      <c r="F6" s="38" t="n">
        <f aca="false">$A6*Inputs!$C$13/100-Inputs!$C$14/100*(Inputs!$C$9+Inputs!$C$11/1000*F$4)-Inputs!$C$18</f>
        <v>-0.069</v>
      </c>
    </row>
    <row r="7" customFormat="false" ht="15" hidden="false" customHeight="false" outlineLevel="0" collapsed="false">
      <c r="A7" s="37" t="n">
        <v>7</v>
      </c>
      <c r="B7" s="38" t="n">
        <f aca="false">$A7*Inputs!$C$13/100-Inputs!$C$14/100*(Inputs!$C$9+Inputs!$C$11/1000*B$4)-Inputs!$C$18</f>
        <v>0.165</v>
      </c>
      <c r="C7" s="38" t="n">
        <f aca="false">$A7*Inputs!$C$13/100-Inputs!$C$14/100*(Inputs!$C$9+Inputs!$C$11/1000*C$4)-Inputs!$C$18</f>
        <v>0.129225</v>
      </c>
      <c r="D7" s="38" t="n">
        <f aca="false">$A7*Inputs!$C$13/100-Inputs!$C$14/100*(Inputs!$C$9+Inputs!$C$11/1000*D$4)-Inputs!$C$18</f>
        <v>0.10935</v>
      </c>
      <c r="E7" s="38" t="n">
        <f aca="false">$A7*Inputs!$C$13/100-Inputs!$C$14/100*(Inputs!$C$9+Inputs!$C$11/1000*E$4)-Inputs!$C$18</f>
        <v>0.0855000000000001</v>
      </c>
      <c r="F7" s="38" t="n">
        <f aca="false">$A7*Inputs!$C$13/100-Inputs!$C$14/100*(Inputs!$C$9+Inputs!$C$11/1000*F$4)-Inputs!$C$18</f>
        <v>0.00600000000000001</v>
      </c>
    </row>
    <row r="8" customFormat="false" ht="15" hidden="false" customHeight="false" outlineLevel="0" collapsed="false">
      <c r="A8" s="37" t="n">
        <v>8</v>
      </c>
      <c r="B8" s="38" t="n">
        <f aca="false">$A8*Inputs!$C$13/100-Inputs!$C$14/100*(Inputs!$C$9+Inputs!$C$11/1000*B$4)-Inputs!$C$18</f>
        <v>0.24</v>
      </c>
      <c r="C8" s="38" t="n">
        <f aca="false">$A8*Inputs!$C$13/100-Inputs!$C$14/100*(Inputs!$C$9+Inputs!$C$11/1000*C$4)-Inputs!$C$18</f>
        <v>0.204225</v>
      </c>
      <c r="D8" s="38" t="n">
        <f aca="false">$A8*Inputs!$C$13/100-Inputs!$C$14/100*(Inputs!$C$9+Inputs!$C$11/1000*D$4)-Inputs!$C$18</f>
        <v>0.18435</v>
      </c>
      <c r="E8" s="38" t="n">
        <f aca="false">$A8*Inputs!$C$13/100-Inputs!$C$14/100*(Inputs!$C$9+Inputs!$C$11/1000*E$4)-Inputs!$C$18</f>
        <v>0.1605</v>
      </c>
      <c r="F8" s="38" t="n">
        <f aca="false">$A8*Inputs!$C$13/100-Inputs!$C$14/100*(Inputs!$C$9+Inputs!$C$11/1000*F$4)-Inputs!$C$18</f>
        <v>0.081</v>
      </c>
    </row>
    <row r="9" customFormat="false" ht="15" hidden="false" customHeight="false" outlineLevel="0" collapsed="false">
      <c r="A9" s="37" t="n">
        <v>9</v>
      </c>
      <c r="B9" s="38" t="n">
        <f aca="false">$A9*Inputs!$C$13/100-Inputs!$C$14/100*(Inputs!$C$9+Inputs!$C$11/1000*B$4)-Inputs!$C$18</f>
        <v>0.315</v>
      </c>
      <c r="C9" s="38" t="n">
        <f aca="false">$A9*Inputs!$C$13/100-Inputs!$C$14/100*(Inputs!$C$9+Inputs!$C$11/1000*C$4)-Inputs!$C$18</f>
        <v>0.279225</v>
      </c>
      <c r="D9" s="38" t="n">
        <f aca="false">$A9*Inputs!$C$13/100-Inputs!$C$14/100*(Inputs!$C$9+Inputs!$C$11/1000*D$4)-Inputs!$C$18</f>
        <v>0.25935</v>
      </c>
      <c r="E9" s="38" t="n">
        <f aca="false">$A9*Inputs!$C$13/100-Inputs!$C$14/100*(Inputs!$C$9+Inputs!$C$11/1000*E$4)-Inputs!$C$18</f>
        <v>0.2355</v>
      </c>
      <c r="F9" s="38" t="n">
        <f aca="false">$A9*Inputs!$C$13/100-Inputs!$C$14/100*(Inputs!$C$9+Inputs!$C$11/1000*F$4)-Inputs!$C$18</f>
        <v>0.156</v>
      </c>
    </row>
    <row r="10" customFormat="false" ht="15" hidden="false" customHeight="false" outlineLevel="0" collapsed="false">
      <c r="A10" s="37" t="n">
        <v>10</v>
      </c>
      <c r="B10" s="38" t="n">
        <f aca="false">$A10*Inputs!$C$13/100-Inputs!$C$14/100*(Inputs!$C$9+Inputs!$C$11/1000*B$4)-Inputs!$C$18</f>
        <v>0.39</v>
      </c>
      <c r="C10" s="38" t="n">
        <f aca="false">$A10*Inputs!$C$13/100-Inputs!$C$14/100*(Inputs!$C$9+Inputs!$C$11/1000*C$4)-Inputs!$C$18</f>
        <v>0.354225</v>
      </c>
      <c r="D10" s="38" t="n">
        <f aca="false">$A10*Inputs!$C$13/100-Inputs!$C$14/100*(Inputs!$C$9+Inputs!$C$11/1000*D$4)-Inputs!$C$18</f>
        <v>0.33435</v>
      </c>
      <c r="E10" s="38" t="n">
        <f aca="false">$A10*Inputs!$C$13/100-Inputs!$C$14/100*(Inputs!$C$9+Inputs!$C$11/1000*E$4)-Inputs!$C$18</f>
        <v>0.3105</v>
      </c>
      <c r="F10" s="38" t="n">
        <f aca="false">$A10*Inputs!$C$13/100-Inputs!$C$14/100*(Inputs!$C$9+Inputs!$C$11/1000*F$4)-Inputs!$C$18</f>
        <v>0.231</v>
      </c>
    </row>
    <row r="11" customFormat="false" ht="15" hidden="false" customHeight="false" outlineLevel="0" collapsed="false">
      <c r="A11" s="37" t="n">
        <v>11</v>
      </c>
      <c r="B11" s="38" t="n">
        <f aca="false">$A11*Inputs!$C$13/100-Inputs!$C$14/100*(Inputs!$C$9+Inputs!$C$11/1000*B$4)-Inputs!$C$18</f>
        <v>0.465</v>
      </c>
      <c r="C11" s="38" t="n">
        <f aca="false">$A11*Inputs!$C$13/100-Inputs!$C$14/100*(Inputs!$C$9+Inputs!$C$11/1000*C$4)-Inputs!$C$18</f>
        <v>0.429225</v>
      </c>
      <c r="D11" s="38" t="n">
        <f aca="false">$A11*Inputs!$C$13/100-Inputs!$C$14/100*(Inputs!$C$9+Inputs!$C$11/1000*D$4)-Inputs!$C$18</f>
        <v>0.40935</v>
      </c>
      <c r="E11" s="38" t="n">
        <f aca="false">$A11*Inputs!$C$13/100-Inputs!$C$14/100*(Inputs!$C$9+Inputs!$C$11/1000*E$4)-Inputs!$C$18</f>
        <v>0.3855</v>
      </c>
      <c r="F11" s="38" t="n">
        <f aca="false">$A11*Inputs!$C$13/100-Inputs!$C$14/100*(Inputs!$C$9+Inputs!$C$11/1000*F$4)-Inputs!$C$18</f>
        <v>0.306</v>
      </c>
    </row>
    <row r="12" customFormat="false" ht="15" hidden="false" customHeight="false" outlineLevel="0" collapsed="false">
      <c r="A12" s="37" t="n">
        <v>12</v>
      </c>
      <c r="B12" s="38" t="n">
        <f aca="false">$A12*Inputs!$C$13/100-Inputs!$C$14/100*(Inputs!$C$9+Inputs!$C$11/1000*B$4)-Inputs!$C$18</f>
        <v>0.54</v>
      </c>
      <c r="C12" s="38" t="n">
        <f aca="false">$A12*Inputs!$C$13/100-Inputs!$C$14/100*(Inputs!$C$9+Inputs!$C$11/1000*C$4)-Inputs!$C$18</f>
        <v>0.504225</v>
      </c>
      <c r="D12" s="38" t="n">
        <f aca="false">$A12*Inputs!$C$13/100-Inputs!$C$14/100*(Inputs!$C$9+Inputs!$C$11/1000*D$4)-Inputs!$C$18</f>
        <v>0.48435</v>
      </c>
      <c r="E12" s="38" t="n">
        <f aca="false">$A12*Inputs!$C$13/100-Inputs!$C$14/100*(Inputs!$C$9+Inputs!$C$11/1000*E$4)-Inputs!$C$18</f>
        <v>0.4605</v>
      </c>
      <c r="F12" s="38" t="n">
        <f aca="false">$A12*Inputs!$C$13/100-Inputs!$C$14/100*(Inputs!$C$9+Inputs!$C$11/1000*F$4)-Inputs!$C$18</f>
        <v>0.381</v>
      </c>
    </row>
    <row r="13" customFormat="false" ht="15" hidden="false" customHeight="false" outlineLevel="0" collapsed="false">
      <c r="A13" s="37" t="n">
        <v>13</v>
      </c>
      <c r="B13" s="38" t="n">
        <f aca="false">$A13*Inputs!$C$13/100-Inputs!$C$14/100*(Inputs!$C$9+Inputs!$C$11/1000*B$4)-Inputs!$C$18</f>
        <v>0.615</v>
      </c>
      <c r="C13" s="38" t="n">
        <f aca="false">$A13*Inputs!$C$13/100-Inputs!$C$14/100*(Inputs!$C$9+Inputs!$C$11/1000*C$4)-Inputs!$C$18</f>
        <v>0.579225</v>
      </c>
      <c r="D13" s="38" t="n">
        <f aca="false">$A13*Inputs!$C$13/100-Inputs!$C$14/100*(Inputs!$C$9+Inputs!$C$11/1000*D$4)-Inputs!$C$18</f>
        <v>0.55935</v>
      </c>
      <c r="E13" s="38" t="n">
        <f aca="false">$A13*Inputs!$C$13/100-Inputs!$C$14/100*(Inputs!$C$9+Inputs!$C$11/1000*E$4)-Inputs!$C$18</f>
        <v>0.5355</v>
      </c>
      <c r="F13" s="38" t="n">
        <f aca="false">$A13*Inputs!$C$13/100-Inputs!$C$14/100*(Inputs!$C$9+Inputs!$C$11/1000*F$4)-Inputs!$C$18</f>
        <v>0.456</v>
      </c>
    </row>
    <row r="14" customFormat="false" ht="15" hidden="false" customHeight="false" outlineLevel="0" collapsed="false">
      <c r="A14" s="37" t="n">
        <v>14</v>
      </c>
      <c r="B14" s="38" t="n">
        <f aca="false">$A14*Inputs!$C$13/100-Inputs!$C$14/100*(Inputs!$C$9+Inputs!$C$11/1000*B$4)-Inputs!$C$18</f>
        <v>0.69</v>
      </c>
      <c r="C14" s="38" t="n">
        <f aca="false">$A14*Inputs!$C$13/100-Inputs!$C$14/100*(Inputs!$C$9+Inputs!$C$11/1000*C$4)-Inputs!$C$18</f>
        <v>0.654225</v>
      </c>
      <c r="D14" s="38" t="n">
        <f aca="false">$A14*Inputs!$C$13/100-Inputs!$C$14/100*(Inputs!$C$9+Inputs!$C$11/1000*D$4)-Inputs!$C$18</f>
        <v>0.63435</v>
      </c>
      <c r="E14" s="38" t="n">
        <f aca="false">$A14*Inputs!$C$13/100-Inputs!$C$14/100*(Inputs!$C$9+Inputs!$C$11/1000*E$4)-Inputs!$C$18</f>
        <v>0.6105</v>
      </c>
      <c r="F14" s="38" t="n">
        <f aca="false">$A14*Inputs!$C$13/100-Inputs!$C$14/100*(Inputs!$C$9+Inputs!$C$11/1000*F$4)-Inputs!$C$18</f>
        <v>0.531</v>
      </c>
    </row>
    <row r="16" customFormat="false" ht="15" hidden="false" customHeight="false" outlineLevel="0" collapsed="false">
      <c r="A16" s="27" t="s">
        <v>132</v>
      </c>
      <c r="B16" s="39" t="n">
        <f aca="false">(Inputs!$C$14/100*(Inputs!$C$9+Inputs!$C$11/1000*B$4)+Inputs!$C$18)/(Inputs!$C$13/100)</f>
        <v>4.8</v>
      </c>
      <c r="C16" s="39" t="n">
        <f aca="false">(Inputs!$C$14/100*(Inputs!$C$9+Inputs!$C$11/1000*C$4)+Inputs!$C$18)/(Inputs!$C$13/100)</f>
        <v>5.277</v>
      </c>
      <c r="D16" s="39" t="n">
        <f aca="false">(Inputs!$C$14/100*(Inputs!$C$9+Inputs!$C$11/1000*D$4)+Inputs!$C$18)/(Inputs!$C$13/100)</f>
        <v>5.542</v>
      </c>
      <c r="E16" s="39" t="n">
        <f aca="false">(Inputs!$C$14/100*(Inputs!$C$9+Inputs!$C$11/1000*E$4)+Inputs!$C$18)/(Inputs!$C$13/100)</f>
        <v>5.86</v>
      </c>
      <c r="F16" s="39" t="n">
        <f aca="false">(Inputs!$C$14/100*(Inputs!$C$9+Inputs!$C$11/1000*F$4)+Inputs!$C$18)/(Inputs!$C$13/100)</f>
        <v>6.92</v>
      </c>
    </row>
    <row r="18" customFormat="false" ht="15" hidden="false" customHeight="false" outlineLevel="0" collapsed="false">
      <c r="A18" s="2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2026-09-26T13:55:38Z</dcterms:created>
  <dc:creator>openpyxl</dc:creator>
  <dc:description/>
  <dc:language>en-US</dc:language>
  <cp:lastModifiedBy/>
  <dcterms:modified xsi:type="dcterms:W3CDTF">2026-09-26T13:55:38Z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