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Inputs" sheetId="2" state="visible" r:id="rId4"/>
    <sheet name="Routes" sheetId="3" state="visible" r:id="rId5"/>
    <sheet name="Capacity" sheetId="4" state="visible" r:id="rId6"/>
    <sheet name="Bridge Sale" sheetId="5" state="visible" r:id="rId7"/>
    <sheet name="Sensitivity" sheetId="6" state="visible" r:id="rId8"/>
    <sheet name="Guide &amp; Sources" sheetId="7" state="visible" r:id="rId9"/>
  </sheets>
  <definedNames>
    <definedName function="false" hidden="false" localSheetId="0" name="_xlnm.Print_Area" vbProcedure="false">Dashboard!$B$1:$M$37</definedName>
    <definedName function="false" hidden="false" name="CarbonPerLitre" vbProcedure="false">Inputs!$D$13</definedName>
    <definedName function="false" hidden="false" name="CarbonPrice" vbProcedure="false">Inputs!$D$12</definedName>
    <definedName function="false" hidden="false" name="DailyCapacity" vbProcedure="false">Inputs!$D$8</definedName>
    <definedName function="false" hidden="false" name="DieselPrice" vbProcedure="false">Inputs!$D$11</definedName>
    <definedName function="false" hidden="false" name="DieselUse" vbProcedure="false">Inputs!$D$16</definedName>
    <definedName function="false" hidden="false" name="HydrogenPrice" vbProcedure="false">Inputs!$D$10</definedName>
    <definedName function="false" hidden="false" name="HydrogenUse" vbProcedure="false">Inputs!$D$15</definedName>
    <definedName function="false" hidden="false" name="PlantOutput" vbProcedure="false">Inputs!$D$7</definedName>
    <definedName function="false" hidden="false" name="PortOwnShare" vbProcedure="false">Inputs!$D$9</definedName>
    <definedName function="false" hidden="false" name="ReserveShare" vbProcedure="false">Inputs!$D$17</definedName>
    <definedName function="false" hidden="false" name="TankSize" vbProcedure="false">Inputs!$D$14</definedName>
    <definedName function="false" hidden="false" name="TruckPremium" vbProcedure="false">Inputs!$D$19</definedName>
    <definedName function="false" hidden="false" name="WorkDays" vbProcedure="false">Inputs!$D$18</definedName>
    <definedName function="false" hidden="false" name="ZevTollSaving" vbProcedure="false">Inputs!$D$20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<sst xmlns="http://schemas.openxmlformats.org/spreadsheetml/2006/main" count="301" uniqueCount="254">
  <si>
    <t xml:space="preserve">Baltic H₂ Gateway – Klaipėda hydrogen route model</t>
  </si>
  <si>
    <t xml:space="preserve">AUVIA Team · Klaipėdos valstybinė kolegija · Portathon 2026, Port of Klaipėda Challenge 1 · Every number updates from the Inputs sheet</t>
  </si>
  <si>
    <t xml:space="preserve">Key results</t>
  </si>
  <si>
    <t xml:space="preserve">HYDROGEN FOR SALE</t>
  </si>
  <si>
    <t xml:space="preserve">USED BY THE TRUCK PLAN</t>
  </si>
  <si>
    <t xml:space="preserve">TRUCKS IN THE PLAN</t>
  </si>
  <si>
    <t xml:space="preserve">PORT REVENUE</t>
  </si>
  <si>
    <t xml:space="preserve">CO₂ AVOIDED</t>
  </si>
  <si>
    <t xml:space="preserve">BREAK-EVEN H₂ PRICE</t>
  </si>
  <si>
    <t xml:space="preserve">after the port's own use</t>
  </si>
  <si>
    <t xml:space="preserve">set per route on Routes</t>
  </si>
  <si>
    <t xml:space="preserve">diesel the plan replaces</t>
  </si>
  <si>
    <t xml:space="preserve">Routes at a glance</t>
  </si>
  <si>
    <t xml:space="preserve">Route</t>
  </si>
  <si>
    <t xml:space="preserve">Lane</t>
  </si>
  <si>
    <t xml:space="preserve">Round trip (km/day)</t>
  </si>
  <si>
    <t xml:space="preserve">One fill?</t>
  </si>
  <si>
    <t xml:space="preserve">Trucks</t>
  </si>
  <si>
    <t xml:space="preserve">H₂ per truck (t/yr)</t>
  </si>
  <si>
    <t xml:space="preserve">Extra € per round trip</t>
  </si>
  <si>
    <t xml:space="preserve">CO₂ saved (t/truck/yr)</t>
  </si>
  <si>
    <t xml:space="preserve">H₂ all trucks (t/yr)</t>
  </si>
  <si>
    <t xml:space="preserve">One fill? No = the round trip needs a second station (Kaunas, Vilnius, Riga or Marijampolė). Trucks in the plan are set on the Routes sheet.</t>
  </si>
  <si>
    <t xml:space="preserve">Charts</t>
  </si>
  <si>
    <t xml:space="preserve">Chart data (feeds the charts above)</t>
  </si>
  <si>
    <t xml:space="preserve">Where the 127 t/yr go</t>
  </si>
  <si>
    <t xml:space="preserve">t/yr</t>
  </si>
  <si>
    <t xml:space="preserve">Fuel + CO₂ cost per km</t>
  </si>
  <si>
    <t xml:space="preserve">€/km</t>
  </si>
  <si>
    <t xml:space="preserve">Port's own use</t>
  </si>
  <si>
    <t xml:space="preserve">Truck plan</t>
  </si>
  <si>
    <t xml:space="preserve">Diesel at €200/t CO₂</t>
  </si>
  <si>
    <t xml:space="preserve">Still unsold</t>
  </si>
  <si>
    <t xml:space="preserve">H₂ at €10.00/kg</t>
  </si>
  <si>
    <t xml:space="preserve">H₂ at €13.00/kg</t>
  </si>
  <si>
    <t xml:space="preserve">Inputs</t>
  </si>
  <si>
    <t xml:space="preserve">Change the blue numbers. Yellow cells are the levers that matter most for the pitch. Every other sheet updates automatically.</t>
  </si>
  <si>
    <t xml:space="preserve">Legend:</t>
  </si>
  <si>
    <t xml:space="preserve">Blue text = an input you can change</t>
  </si>
  <si>
    <t xml:space="preserve">Key lever</t>
  </si>
  <si>
    <t xml:space="preserve">Formula</t>
  </si>
  <si>
    <t xml:space="preserve">Group</t>
  </si>
  <si>
    <t xml:space="preserve">Input</t>
  </si>
  <si>
    <t xml:space="preserve">Value</t>
  </si>
  <si>
    <t xml:space="preserve">Unit</t>
  </si>
  <si>
    <t xml:space="preserve">Source / note</t>
  </si>
  <si>
    <t xml:space="preserve">Plant</t>
  </si>
  <si>
    <t xml:space="preserve">Annual hydrogen output at full capacity</t>
  </si>
  <si>
    <t xml:space="preserve">kg/yr</t>
  </si>
  <si>
    <t xml:space="preserve">Port of Klaipėda: 2.25 MW PEM electrolyser (Manifold Times, Jun 2026)</t>
  </si>
  <si>
    <t xml:space="preserve">Nameplate daily output</t>
  </si>
  <si>
    <t xml:space="preserve">kg/day</t>
  </si>
  <si>
    <t xml:space="preserve">Interreg HyTruck / press (team workshop notes say ~530 kg/day)</t>
  </si>
  <si>
    <t xml:space="preserve">Share used by the port authority itself</t>
  </si>
  <si>
    <t xml:space="preserve">%</t>
  </si>
  <si>
    <t xml:space="preserve">Hydrogen waste-collection vessel + Toyota Mirai: 'about one quarter' (press, Jun 2026)</t>
  </si>
  <si>
    <t xml:space="preserve">Prices &amp; carbon</t>
  </si>
  <si>
    <t xml:space="preserve">Hydrogen selling price</t>
  </si>
  <si>
    <t xml:space="preserve">€/kg</t>
  </si>
  <si>
    <t xml:space="preserve">Pitch assumption: fixed pilot price. Germany truck deal is €8/kg net (hylane + H2 MOBILITY, 2026)</t>
  </si>
  <si>
    <t xml:space="preserve">Diesel price, excl. VAT</t>
  </si>
  <si>
    <t xml:space="preserve">€/L</t>
  </si>
  <si>
    <t xml:space="preserve">Assumption: replace with a current Lithuanian fleet-card price excl. VAT</t>
  </si>
  <si>
    <t xml:space="preserve">CO₂ price added to diesel</t>
  </si>
  <si>
    <t xml:space="preserve">€/t CO₂</t>
  </si>
  <si>
    <t xml:space="preserve">0 = today. EU ETS2 starts 2028 (~€45/t ceiling). Team notes: €70 and €200/t scenarios</t>
  </si>
  <si>
    <t xml:space="preserve">CO₂ per litre of diesel burned</t>
  </si>
  <si>
    <t xml:space="preserve">kg CO₂/L</t>
  </si>
  <si>
    <t xml:space="preserve">Standard tank-to-wheel factor for diesel (~2.64–2.68 kg/L)</t>
  </si>
  <si>
    <t xml:space="preserve">Truck &amp; operations</t>
  </si>
  <si>
    <t xml:space="preserve">Hydrogen tank (350 bar)</t>
  </si>
  <si>
    <t xml:space="preserve">kg</t>
  </si>
  <si>
    <t xml:space="preserve">Hyundai XCIENT Fuel Cell, EU spec (ecv.hyundai.com)</t>
  </si>
  <si>
    <t xml:space="preserve">Hydrogen use, loaded 40 t truck</t>
  </si>
  <si>
    <t xml:space="preserve">kg/100 km</t>
  </si>
  <si>
    <t xml:space="preserve">Hyundai quotes ~7 kg/100 km loaded; 7.5 used to stay conservative</t>
  </si>
  <si>
    <t xml:space="preserve">Diesel use, loaded 40 t truck</t>
  </si>
  <si>
    <t xml:space="preserve">L/100 km</t>
  </si>
  <si>
    <t xml:space="preserve">Assumption: typical EU long-haul 28–33 L/100 km</t>
  </si>
  <si>
    <t xml:space="preserve">Safety reserve kept in the tank</t>
  </si>
  <si>
    <t xml:space="preserve">Assumption: never plan to arrive empty</t>
  </si>
  <si>
    <t xml:space="preserve">Working days per year</t>
  </si>
  <si>
    <t xml:space="preserve">days</t>
  </si>
  <si>
    <t xml:space="preserve">Assumption</t>
  </si>
  <si>
    <t xml:space="preserve">Truck cost premium vs diesel (lease)</t>
  </si>
  <si>
    <t xml:space="preserve">€/truck/yr</t>
  </si>
  <si>
    <t xml:space="preserve">NOT INCLUDED until you enter a dealer or lease quote</t>
  </si>
  <si>
    <t xml:space="preserve">Toll saving for a zero-emission truck</t>
  </si>
  <si>
    <t xml:space="preserve">0 in Lithuania today; Germany gives ~75% off – only matters on German legs</t>
  </si>
  <si>
    <t xml:space="preserve">Routes</t>
  </si>
  <si>
    <t xml:space="preserve">Hydrogen trucks start and end at the Klaipėda station. Blue = route inputs (distance, trips, trucks); yellow = trucks in the plan.</t>
  </si>
  <si>
    <t xml:space="preserve">1 · Operations – can one tank do the job?</t>
  </si>
  <si>
    <t xml:space="preserve">Notes</t>
  </si>
  <si>
    <t xml:space="preserve">One-way km</t>
  </si>
  <si>
    <t xml:space="preserve">Round trips / day</t>
  </si>
  <si>
    <t xml:space="preserve">Trucks in plan</t>
  </si>
  <si>
    <t xml:space="preserve">km per day</t>
  </si>
  <si>
    <t xml:space="preserve">H₂ per day (kg)</t>
  </si>
  <si>
    <t xml:space="preserve">Usable tank (kg)</t>
  </si>
  <si>
    <t xml:space="preserve">H₂ per truck (kg/yr)</t>
  </si>
  <si>
    <t xml:space="preserve">H₂ all trucks (kg/yr)</t>
  </si>
  <si>
    <t xml:space="preserve">A</t>
  </si>
  <si>
    <t xml:space="preserve">Port-area shuttles</t>
  </si>
  <si>
    <t xml:space="preserve">Port ↔ Free Economic Zone, logistics parks and rail terminals</t>
  </si>
  <si>
    <t xml:space="preserve">B</t>
  </si>
  <si>
    <t xml:space="preserve">Klaipėda ↔ Šiauliai</t>
  </si>
  <si>
    <t xml:space="preserve">Daily shuttle</t>
  </si>
  <si>
    <t xml:space="preserve">C</t>
  </si>
  <si>
    <t xml:space="preserve">Klaipėda ↔ Kaunas</t>
  </si>
  <si>
    <t xml:space="preserve">Kaunas Intermodal Terminal; needs a mobile refueller in Kaunas</t>
  </si>
  <si>
    <t xml:space="preserve">D</t>
  </si>
  <si>
    <t xml:space="preserve">Klaipėda ↔ Vilnius</t>
  </si>
  <si>
    <t xml:space="preserve">Needs a Vilnius station open to trucks</t>
  </si>
  <si>
    <t xml:space="preserve">E</t>
  </si>
  <si>
    <t xml:space="preserve">Klaipėda ↔ Riga</t>
  </si>
  <si>
    <t xml:space="preserve">Riga station is not green today</t>
  </si>
  <si>
    <t xml:space="preserve">F</t>
  </si>
  <si>
    <t xml:space="preserve">Klaipėda ↔ Marijampolė</t>
  </si>
  <si>
    <t xml:space="preserve">Via Kaunas; refuel at the planned Marijampolė 700-bar station on Via Baltica</t>
  </si>
  <si>
    <t xml:space="preserve">Total for the plan</t>
  </si>
  <si>
    <t xml:space="preserve">2 · Economics &amp; climate – one truck compared with diesel</t>
  </si>
  <si>
    <t xml:space="preserve">Diesel fuel (€/km)</t>
  </si>
  <si>
    <t xml:space="preserve">CO₂ cost on diesel (€/km)</t>
  </si>
  <si>
    <t xml:space="preserve">H₂ fuel (€/km)</t>
  </si>
  <si>
    <t xml:space="preserve">Extra cost vs diesel (€/km)</t>
  </si>
  <si>
    <t xml:space="preserve">Extra cost per round trip (€)</t>
  </si>
  <si>
    <t xml:space="preserve">Extra cost per truck (€/yr)</t>
  </si>
  <si>
    <t xml:space="preserve">CO₂ saved per truck (t/yr)</t>
  </si>
  <si>
    <t xml:space="preserve">Cost per t CO₂ avoided (€/t)</t>
  </si>
  <si>
    <t xml:space="preserve">• Distances are approximate road km – check them on a map before quoting.</t>
  </si>
  <si>
    <t xml:space="preserve">• Route A: 6 short round trips a day (~180 km) moving containers between the port and nearby sites.</t>
  </si>
  <si>
    <t xml:space="preserve">• 'One fill?' checks one round trip against the tank minus the safety reserve. Routes C–F need a refuel at the far end.</t>
  </si>
  <si>
    <t xml:space="preserve">• Route F becomes possible once the Marijampolė station opens (Baltic H₂ Gateway stage 3, 2028+); it links Lithuania to Poland on Via Baltica.</t>
  </si>
  <si>
    <t xml:space="preserve">• Extra cost per truck includes the truck lease premium from Inputs (0 until you add a quote). CO₂ saved is tank-to-wheel.</t>
  </si>
  <si>
    <t xml:space="preserve">Capacity</t>
  </si>
  <si>
    <t xml:space="preserve">Does the truck plan fit the plant? Supply, demand and value. Change trucks per route on the Routes sheet.</t>
  </si>
  <si>
    <t xml:space="preserve">Supply</t>
  </si>
  <si>
    <t xml:space="preserve">Item</t>
  </si>
  <si>
    <t xml:space="preserve">How it's calculated</t>
  </si>
  <si>
    <t xml:space="preserve">Plant output at full capacity</t>
  </si>
  <si>
    <t xml:space="preserve">From Inputs</t>
  </si>
  <si>
    <t xml:space="preserve">Used by the port authority itself</t>
  </si>
  <si>
    <t xml:space="preserve">Output × port's own share</t>
  </si>
  <si>
    <t xml:space="preserve">Available to sell</t>
  </si>
  <si>
    <t xml:space="preserve">Output minus the port's own use</t>
  </si>
  <si>
    <t xml:space="preserve">Available to sell per working day</t>
  </si>
  <si>
    <t xml:space="preserve">Spread over the working days</t>
  </si>
  <si>
    <t xml:space="preserve">Demand from the truck plan</t>
  </si>
  <si>
    <t xml:space="preserve">Hydrogen needed by all trucks in the plan</t>
  </si>
  <si>
    <t xml:space="preserve">Routes sheet, total of table 1</t>
  </si>
  <si>
    <t xml:space="preserve">Share of sellable hydrogen used</t>
  </si>
  <si>
    <t xml:space="preserve">Plan ÷ available to sell</t>
  </si>
  <si>
    <t xml:space="preserve">Hydrogen still unsold</t>
  </si>
  <si>
    <t xml:space="preserve">Room to add trucks or industrial buyers</t>
  </si>
  <si>
    <t xml:space="preserve">Plan demand on a working day</t>
  </si>
  <si>
    <t xml:space="preserve">Daily fills across all routes</t>
  </si>
  <si>
    <t xml:space="preserve">Peak day fits the nameplate daily output?</t>
  </si>
  <si>
    <t xml:space="preserve">Plan + port's own daily use vs nameplate</t>
  </si>
  <si>
    <t xml:space="preserve">Trucks in the plan</t>
  </si>
  <si>
    <t xml:space="preserve">trucks</t>
  </si>
  <si>
    <t xml:space="preserve">Routes sheet</t>
  </si>
  <si>
    <t xml:space="preserve">Route B trucks the sellable hydrogen could support</t>
  </si>
  <si>
    <t xml:space="preserve">Available ÷ one Šiauliai truck's yearly need</t>
  </si>
  <si>
    <t xml:space="preserve">Port revenue from the plan at the selected price</t>
  </si>
  <si>
    <t xml:space="preserve">€/yr</t>
  </si>
  <si>
    <t xml:space="preserve">Plan × hydrogen price</t>
  </si>
  <si>
    <t xml:space="preserve">Port revenue if all sellable hydrogen is sold</t>
  </si>
  <si>
    <t xml:space="preserve">Available × hydrogen price</t>
  </si>
  <si>
    <t xml:space="preserve">CO₂ avoided by the plan</t>
  </si>
  <si>
    <t xml:space="preserve">Diesel CO₂ the plan replaces</t>
  </si>
  <si>
    <t xml:space="preserve">Pilot volume to ask for (Routes A + B)</t>
  </si>
  <si>
    <t xml:space="preserve">Deck ask: fixed price for a 12-month pilot</t>
  </si>
  <si>
    <t xml:space="preserve">Bridge Sale</t>
  </si>
  <si>
    <t xml:space="preserve">Deck stage 1: a 1.5 t trial batch to industry, delivered by 350-bar tube trailer. No new vehicles needed.</t>
  </si>
  <si>
    <t xml:space="preserve">Trial batch</t>
  </si>
  <si>
    <t xml:space="preserve">Note</t>
  </si>
  <si>
    <t xml:space="preserve">Trial batch size</t>
  </si>
  <si>
    <t xml:space="preserve">Deck stage 1: 1.5 t</t>
  </si>
  <si>
    <t xml:space="preserve">Price – low case</t>
  </si>
  <si>
    <t xml:space="preserve">Benchmark: €8/kg truck hydrogen in Germany (2026)</t>
  </si>
  <si>
    <t xml:space="preserve">Price – high case</t>
  </si>
  <si>
    <t xml:space="preserve">Upper benchmark</t>
  </si>
  <si>
    <t xml:space="preserve">Revenue – low case</t>
  </si>
  <si>
    <t xml:space="preserve">€</t>
  </si>
  <si>
    <t xml:space="preserve">Batch × low price</t>
  </si>
  <si>
    <t xml:space="preserve">Revenue – high case</t>
  </si>
  <si>
    <t xml:space="preserve">Batch × high price</t>
  </si>
  <si>
    <t xml:space="preserve">Share of the hydrogen for sale</t>
  </si>
  <si>
    <t xml:space="preserve">Trial vs a year of sellable output</t>
  </si>
  <si>
    <t xml:space="preserve">Days of spare output used</t>
  </si>
  <si>
    <t xml:space="preserve">working days</t>
  </si>
  <si>
    <t xml:space="preserve">How long the plant needs to make the batch</t>
  </si>
  <si>
    <t xml:space="preserve">Candidate buyers</t>
  </si>
  <si>
    <t xml:space="preserve">Buyer</t>
  </si>
  <si>
    <t xml:space="preserve">Site</t>
  </si>
  <si>
    <t xml:space="preserve">Road km from Klaipėda</t>
  </si>
  <si>
    <t xml:space="preserve">Use of hydrogen</t>
  </si>
  <si>
    <t xml:space="preserve">Orlen Lietuva</t>
  </si>
  <si>
    <t xml:space="preserve">Mažeikiai refinery</t>
  </si>
  <si>
    <t xml:space="preserve">Hydrotreating – removing sulphur from diesel and petrol</t>
  </si>
  <si>
    <t xml:space="preserve">Achema</t>
  </si>
  <si>
    <t xml:space="preserve">Jonava fertiliser plant</t>
  </si>
  <si>
    <t xml:space="preserve">Feedstock for ammonia (NH₃) – replacing grey hydrogen</t>
  </si>
  <si>
    <t xml:space="preserve">Distances are approximate road km. Final price depends on buyer terms, purity and delivery.</t>
  </si>
  <si>
    <t xml:space="preserve">Sensitivity</t>
  </si>
  <si>
    <t xml:space="preserve">Extra fuel cost of a hydrogen truck vs diesel, € per km, for each hydrogen price and CO₂ price. Green = hydrogen is cheaper.</t>
  </si>
  <si>
    <t xml:space="preserve">Hydrogen price × CO₂ price</t>
  </si>
  <si>
    <t xml:space="preserve">H₂ price ↓   CO₂ price →</t>
  </si>
  <si>
    <t xml:space="preserve">How to read it</t>
  </si>
  <si>
    <t xml:space="preserve">Each cell = hydrogen fuel cost per km minus diesel fuel + CO₂ cost per km.</t>
  </si>
  <si>
    <t xml:space="preserve">Green: hydrogen is already cheaper. Red: hydrogen costs more.</t>
  </si>
  <si>
    <t xml:space="preserve">The yellow row is the hydrogen price where both cost the same.</t>
  </si>
  <si>
    <t xml:space="preserve">CO₂ columns</t>
  </si>
  <si>
    <t xml:space="preserve">€0 = today · €45 = EU ETS2 ceiling from 2028</t>
  </si>
  <si>
    <t xml:space="preserve">€70 and €200 = team workshop scenarios · €100 = midpoint</t>
  </si>
  <si>
    <t xml:space="preserve">Not included</t>
  </si>
  <si>
    <t xml:space="preserve">Truck lease premium (see Inputs) and toll savings outside Germany.</t>
  </si>
  <si>
    <t xml:space="preserve">Break-even H₂ price (€/kg)</t>
  </si>
  <si>
    <t xml:space="preserve">Guide &amp; Sources</t>
  </si>
  <si>
    <t xml:space="preserve">What this workbook does, how to use it, and where every number comes from.</t>
  </si>
  <si>
    <t xml:space="preserve">What it does</t>
  </si>
  <si>
    <t xml:space="preserve">Compares hydrogen truck routes that start and end at the Port of Klaipėda hydrogen station, checks the plan against the 127 t/yr the plant can make, and prices the 1.5 t industrial bridge sale.</t>
  </si>
  <si>
    <t xml:space="preserve">Sheets</t>
  </si>
  <si>
    <t xml:space="preserve">Dashboard</t>
  </si>
  <si>
    <t xml:space="preserve">Key results, routes at a glance and two charts – start here</t>
  </si>
  <si>
    <t xml:space="preserve">Every assumption with its source; change the blue numbers</t>
  </si>
  <si>
    <t xml:space="preserve">Per-truck operations (range, fills) and economics vs diesel for routes A–F</t>
  </si>
  <si>
    <t xml:space="preserve">Supply vs demand, revenue and CO₂ for the whole plan</t>
  </si>
  <si>
    <t xml:space="preserve">The 1.5 t trial batch to Orlen Lietuva or Achema</t>
  </si>
  <si>
    <t xml:space="preserve">Hydrogen price × CO₂ price grid and break-even prices</t>
  </si>
  <si>
    <t xml:space="preserve">Colour code</t>
  </si>
  <si>
    <t xml:space="preserve">1,234</t>
  </si>
  <si>
    <t xml:space="preserve">Blue text – an input you can change</t>
  </si>
  <si>
    <t xml:space="preserve">Black text – a formula on the same sheet</t>
  </si>
  <si>
    <t xml:space="preserve">Green text – pulled from another sheet</t>
  </si>
  <si>
    <t xml:space="preserve">Yellow fill – a key lever for the pitch</t>
  </si>
  <si>
    <t xml:space="preserve">Yes</t>
  </si>
  <si>
    <t xml:space="preserve">Green / amber – a route fits one fill, or needs a second station</t>
  </si>
  <si>
    <t xml:space="preserve">How to use it</t>
  </si>
  <si>
    <t xml:space="preserve">1. Change the yellow cells on Inputs: hydrogen price, diesel price, CO₂ price, truck lease premium.</t>
  </si>
  <si>
    <t xml:space="preserve">2. Set trucks per route on Routes (yellow column).</t>
  </si>
  <si>
    <t xml:space="preserve">3. Read the Dashboard. Every other cell is a formula – please don't overwrite them.</t>
  </si>
  <si>
    <t xml:space="preserve">Not in the numbers yet</t>
  </si>
  <si>
    <t xml:space="preserve">• The extra purchase or lease cost of a fuel-cell truck is 0 until you enter a real quote (Inputs).</t>
  </si>
  <si>
    <t xml:space="preserve">• Toll savings are 0: Lithuania gives zero-emission trucks no discount today (a CO₂-based distance toll is coming).</t>
  </si>
  <si>
    <t xml:space="preserve">• Road distances are approximate – check them on a map before quoting.</t>
  </si>
  <si>
    <t xml:space="preserve">Sources</t>
  </si>
  <si>
    <t xml:space="preserve">• Plant 127 t/yr, 2.25 MW PEM, ~500 kg/day, 350 &amp; 700 bar, ~¼ for the port's own use: Port of Klaipėda / Manifold Times (Jun 2026), Ship &amp; Bunker, Interreg HyTruck</t>
  </si>
  <si>
    <t xml:space="preserve">• Truck tank 31.5 kg at 350 bar, ~400 km, ~7 kg/100 km loaded: Hyundai XCIENT Fuel Cell, EU spec (ecv.hyundai.com)</t>
  </si>
  <si>
    <t xml:space="preserve">• EU ETS2 for road fuels from 2028, price ceiling mechanism near €45/t: climate.ec.europa.eu</t>
  </si>
  <si>
    <t xml:space="preserve">• €8/kg truck hydrogen in Germany (hylane + H2 MOBILITY, Jan 2026): h2.live</t>
  </si>
  <si>
    <t xml:space="preserve">• €200/t CO₂ scenario and €8–30/kg price points: AUVIA team workshop notes</t>
  </si>
  <si>
    <t xml:space="preserve">Team</t>
  </si>
  <si>
    <t xml:space="preserve">AUVIA Team – Mahyi Eddine Bouaffar, Chukwuemeka Onyemejor, Mokhtar Ounis, Salah Djoudi, Lotfi Boumaza · Mentor: Lina Gelažnikienė · Klaipėdos valstybinė kolegija</t>
  </si>
</sst>
</file>

<file path=xl/styles.xml><?xml version="1.0" encoding="utf-8"?>
<styleSheet xmlns="http://schemas.openxmlformats.org/spreadsheetml/2006/main">
  <numFmts count="17">
    <numFmt numFmtId="164" formatCode="General"/>
    <numFmt numFmtId="165" formatCode="#,##0&quot; t/yr&quot;"/>
    <numFmt numFmtId="166" formatCode="0%"/>
    <numFmt numFmtId="167" formatCode="0"/>
    <numFmt numFmtId="168" formatCode="\€#,##0&quot;k /yr&quot;"/>
    <numFmt numFmtId="169" formatCode="\€0.00&quot;/kg&quot;"/>
    <numFmt numFmtId="170" formatCode="#,##0;\(#,##0\);\–"/>
    <numFmt numFmtId="171" formatCode="#,##0.0;\(#,##0.0\);\–"/>
    <numFmt numFmtId="172" formatCode="\€#,##0;&quot;(€&quot;#,##0\);\–"/>
    <numFmt numFmtId="173" formatCode="\€0.00;&quot;(€&quot;0.00\);\–"/>
    <numFmt numFmtId="174" formatCode="0.0&quot; t&quot;"/>
    <numFmt numFmtId="175" formatCode="\€0.00"/>
    <numFmt numFmtId="176" formatCode="0%;\(0%\);\–"/>
    <numFmt numFmtId="177" formatCode="0.00"/>
    <numFmt numFmtId="178" formatCode="0.0%;\(0.0%\);\–"/>
    <numFmt numFmtId="179" formatCode="&quot;CO₂ €&quot;#,##0&quot;/t&quot;"/>
    <numFmt numFmtId="180" formatCode="&quot;H₂ at €&quot;0.00&quot;/kg&quot;"/>
  </numFmts>
  <fonts count="3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5B6B7A"/>
      <name val="Arial"/>
      <family val="0"/>
      <charset val="1"/>
    </font>
    <font>
      <b val="true"/>
      <sz val="12"/>
      <color rgb="FF0B2545"/>
      <name val="Arial"/>
      <family val="0"/>
      <charset val="1"/>
    </font>
    <font>
      <b val="true"/>
      <sz val="8"/>
      <color rgb="FFAEBFCE"/>
      <name val="Arial"/>
      <family val="0"/>
      <charset val="1"/>
    </font>
    <font>
      <b val="true"/>
      <sz val="8"/>
      <color rgb="FF5B6B7A"/>
      <name val="Arial"/>
      <family val="0"/>
      <charset val="1"/>
    </font>
    <font>
      <b val="true"/>
      <sz val="20"/>
      <color rgb="FF3DDC97"/>
      <name val="Arial"/>
      <family val="0"/>
      <charset val="1"/>
    </font>
    <font>
      <b val="true"/>
      <sz val="20"/>
      <color rgb="FF0B2545"/>
      <name val="Arial"/>
      <family val="0"/>
      <charset val="1"/>
    </font>
    <font>
      <i val="true"/>
      <sz val="8"/>
      <color rgb="FFAEBFCE"/>
      <name val="Arial"/>
      <family val="0"/>
      <charset val="1"/>
    </font>
    <font>
      <i val="true"/>
      <sz val="8"/>
      <color rgb="FF5B6B7A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color rgb="FF0B2545"/>
      <name val="Calibri"/>
      <family val="2"/>
    </font>
    <font>
      <sz val="10"/>
      <color rgb="FF000000"/>
      <name val="Calibri"/>
      <family val="2"/>
    </font>
    <font>
      <b val="true"/>
      <sz val="9"/>
      <color rgb="FF5B6B7A"/>
      <name val="Arial"/>
      <family val="0"/>
      <charset val="1"/>
    </font>
    <font>
      <sz val="9"/>
      <color rgb="FF0000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color rgb="FF0B2545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5B6B7A"/>
      <name val="Arial"/>
      <family val="0"/>
      <charset val="1"/>
    </font>
    <font>
      <i val="true"/>
      <sz val="9"/>
      <color rgb="FF5B6B7A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u val="single"/>
      <sz val="11"/>
      <color rgb="FF0563C1"/>
      <name val="Arial"/>
      <family val="0"/>
      <charset val="1"/>
    </font>
    <font>
      <b val="true"/>
      <sz val="10"/>
      <color rgb="FF0F6B46"/>
      <name val="Arial"/>
      <family val="0"/>
      <charset val="1"/>
    </font>
    <font>
      <sz val="10"/>
      <color rgb="FF5B6B7A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B2545"/>
        <bgColor rgb="FF333333"/>
      </patternFill>
    </fill>
    <fill>
      <patternFill patternType="solid">
        <fgColor rgb="FFEEF4F8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5F5E6"/>
        <bgColor rgb="FFEEF4F8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3DDC97"/>
      </bottom>
      <diagonal/>
    </border>
    <border diagonalUp="false" diagonalDown="false">
      <left style="thin">
        <color rgb="FFD5DEE7"/>
      </left>
      <right style="thin">
        <color rgb="FFD5DEE7"/>
      </right>
      <top style="thin">
        <color rgb="FFD5DEE7"/>
      </top>
      <bottom style="thin">
        <color rgb="FFD5DE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8" fillId="3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5" fontId="9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0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10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9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0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9" fontId="10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2" borderId="0" xfId="0" applyFont="true" applyBorder="true" applyAlignment="true" applyProtection="false">
      <alignment horizontal="left" vertical="top" textRotation="0" wrapText="false" indent="1" shrinkToFit="false"/>
      <protection locked="true" hidden="false"/>
    </xf>
    <xf numFmtId="164" fontId="12" fillId="3" borderId="0" xfId="0" applyFont="true" applyBorder="true" applyAlignment="true" applyProtection="false">
      <alignment horizontal="left" vertical="top" textRotation="0" wrapText="false" indent="1" shrinkToFit="false"/>
      <protection locked="true" hidden="false"/>
    </xf>
    <xf numFmtId="164" fontId="13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0" fontId="1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4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0" fontId="1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3" fontId="1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2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6" fontId="2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2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2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2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2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1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9" fontId="2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80" fontId="27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6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3" fontId="1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0F6B46"/>
      </font>
      <fill>
        <patternFill>
          <bgColor rgb="FFD5F5E6"/>
        </patternFill>
      </fill>
    </dxf>
    <dxf>
      <font>
        <name val="Arial"/>
        <charset val="1"/>
        <family val="0"/>
        <b val="1"/>
        <color rgb="FF8A5A10"/>
      </font>
      <fill>
        <patternFill>
          <bgColor rgb="FFFBEBD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5A10"/>
      <rgbColor rgb="FF800080"/>
      <rgbColor rgb="FF13828A"/>
      <rgbColor rgb="FFAEBFCE"/>
      <rgbColor rgb="FF878787"/>
      <rgbColor rgb="FF9999FF"/>
      <rgbColor rgb="FFC2413B"/>
      <rgbColor rgb="FFFBEBD0"/>
      <rgbColor rgb="FFD5F5E6"/>
      <rgbColor rgb="FF660066"/>
      <rgbColor rgb="FFFF8080"/>
      <rgbColor rgb="FF0563C1"/>
      <rgbColor rgb="FFD5DEE7"/>
      <rgbColor rgb="FF000080"/>
      <rgbColor rgb="FFFF00FF"/>
      <rgbColor rgb="FFFFFF00"/>
      <rgbColor rgb="FF00FFFF"/>
      <rgbColor rgb="FF800080"/>
      <rgbColor rgb="FF800000"/>
      <rgbColor rgb="FF0F6B46"/>
      <rgbColor rgb="FF0000FF"/>
      <rgbColor rgb="FF00CCFF"/>
      <rgbColor rgb="FFEEF4F8"/>
      <rgbColor rgb="FFD9D9D9"/>
      <rgbColor rgb="FFFFFF99"/>
      <rgbColor rgb="FF99CCFF"/>
      <rgbColor rgb="FFFF99CC"/>
      <rgbColor rgb="FFCC99FF"/>
      <rgbColor rgb="FFFFCC99"/>
      <rgbColor rgb="FF4F81BD"/>
      <rgbColor rgb="FF3DDC97"/>
      <rgbColor rgb="FF99CC00"/>
      <rgbColor rgb="FFFFCC00"/>
      <rgbColor rgb="FFE9A23B"/>
      <rgbColor rgb="FFC8553D"/>
      <rgbColor rgb="FF5B6B7A"/>
      <rgbColor rgb="FF8DA9C4"/>
      <rgbColor rgb="FF0B2545"/>
      <rgbColor rgb="FF1FB57A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0b2545"/>
                </a:solidFill>
                <a:latin typeface="Calibri"/>
              </a:defRPr>
            </a:pPr>
            <a:r>
              <a:rPr b="1" sz="1200" spc="-1" strike="noStrike">
                <a:solidFill>
                  <a:srgbClr val="0b2545"/>
                </a:solidFill>
                <a:latin typeface="Calibri"/>
              </a:rPr>
              <a:t>Where the 127 t/yr of hydrogen go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8da9c4"/>
              </a:solidFill>
              <a:ln w="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1fb57a"/>
              </a:solidFill>
              <a:ln w="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e9a23b"/>
              </a:solidFill>
              <a:ln w="0">
                <a:solidFill>
                  <a:srgbClr val="ffffff"/>
                </a:solidFill>
              </a:ln>
            </c:spPr>
          </c:dPt>
          <c:dLbls>
            <c:numFmt formatCode="0.0&quot; t&quot;" sourceLinked="1"/>
            <c:dLbl>
              <c:idx val="0"/>
              <c:numFmt formatCode="0.0&quot; t&quot;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0.0&quot; t&quot;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numFmt formatCode="0.0&quot; t&quot;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eparator>; </c:separator>
            <c:showLeaderLines val="0"/>
          </c:dLbls>
          <c:cat>
            <c:strRef>
              <c:f>Dashboard!$B$40:$B$42</c:f>
              <c:strCache>
                <c:ptCount val="3"/>
                <c:pt idx="0">
                  <c:v>Port's own use</c:v>
                </c:pt>
                <c:pt idx="1">
                  <c:v>Truck plan</c:v>
                </c:pt>
                <c:pt idx="2">
                  <c:v>Still unsold</c:v>
                </c:pt>
              </c:strCache>
            </c:strRef>
          </c:cat>
          <c:val>
            <c:numRef>
              <c:f>Dashboard!$D$40:$D$42</c:f>
              <c:numCache>
                <c:formatCode>#,##0.0;\(#,##0.0\);\–</c:formatCode>
                <c:ptCount val="3"/>
                <c:pt idx="0">
                  <c:v>31.75</c:v>
                </c:pt>
                <c:pt idx="1">
                  <c:v>55.6875</c:v>
                </c:pt>
                <c:pt idx="2">
                  <c:v>39.5625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0b2545"/>
                </a:solidFill>
                <a:latin typeface="Calibri"/>
              </a:defRPr>
            </a:pPr>
            <a:r>
              <a:rPr b="1" sz="1200" spc="-1" strike="noStrike">
                <a:solidFill>
                  <a:srgbClr val="0b2545"/>
                </a:solidFill>
                <a:latin typeface="Calibri"/>
              </a:rPr>
              <a:t>Fuel + CO₂ cost per km, 40 t truck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c8553d"/>
              </a:solidFill>
              <a:ln w="0">
                <a:solidFill>
                  <a:srgbClr val="c8553d"/>
                </a:solidFill>
              </a:ln>
            </c:spPr>
          </c:dPt>
          <c:dPt>
            <c:idx val="1"/>
            <c:invertIfNegative val="0"/>
            <c:spPr>
              <a:solidFill>
                <a:srgbClr val="c8553d"/>
              </a:solidFill>
              <a:ln w="0">
                <a:solidFill>
                  <a:srgbClr val="c8553d"/>
                </a:solidFill>
              </a:ln>
            </c:spPr>
          </c:dPt>
          <c:dPt>
            <c:idx val="2"/>
            <c:invertIfNegative val="0"/>
            <c:spPr>
              <a:solidFill>
                <a:srgbClr val="13828a"/>
              </a:solidFill>
              <a:ln w="0">
                <a:solidFill>
                  <a:srgbClr val="13828a"/>
                </a:solidFill>
              </a:ln>
            </c:spPr>
          </c:dPt>
          <c:dPt>
            <c:idx val="3"/>
            <c:invertIfNegative val="0"/>
            <c:spPr>
              <a:solidFill>
                <a:srgbClr val="13828a"/>
              </a:solidFill>
              <a:ln w="0">
                <a:solidFill>
                  <a:srgbClr val="13828a"/>
                </a:solidFill>
              </a:ln>
            </c:spPr>
          </c:dPt>
          <c:dPt>
            <c:idx val="4"/>
            <c:invertIfNegative val="0"/>
            <c:spPr>
              <a:solidFill>
                <a:srgbClr val="13828a"/>
              </a:solidFill>
              <a:ln w="0">
                <a:solidFill>
                  <a:srgbClr val="13828a"/>
                </a:solidFill>
              </a:ln>
            </c:spPr>
          </c:dPt>
          <c:dLbls>
            <c:numFmt formatCode="\€0.00" sourceLinked="1"/>
            <c:dLbl>
              <c:idx val="0"/>
              <c:numFmt formatCode="\€0.0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\€0.0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numFmt formatCode="\€0.0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3"/>
              <c:numFmt formatCode="\€0.0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4"/>
              <c:numFmt formatCode="\€0.0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Dashboard!$F$40:$F$44</c:f>
              <c:strCache>
                <c:ptCount val="5"/>
                <c:pt idx="0">
                  <c:v>Diesel at €0/t CO₂</c:v>
                </c:pt>
                <c:pt idx="1">
                  <c:v>Diesel at €200/t CO₂</c:v>
                </c:pt>
                <c:pt idx="2">
                  <c:v>H₂ at €8.00/kg</c:v>
                </c:pt>
                <c:pt idx="3">
                  <c:v>H₂ at €10.00/kg</c:v>
                </c:pt>
                <c:pt idx="4">
                  <c:v>H₂ at €13.00/kg</c:v>
                </c:pt>
              </c:strCache>
            </c:strRef>
          </c:cat>
          <c:val>
            <c:numRef>
              <c:f>Dashboard!$I$40:$I$44</c:f>
              <c:numCache>
                <c:formatCode>\€0.00;"(€"0.00\);\–</c:formatCode>
                <c:ptCount val="5"/>
                <c:pt idx="0">
                  <c:v>0.36</c:v>
                </c:pt>
                <c:pt idx="1">
                  <c:v>0.519</c:v>
                </c:pt>
                <c:pt idx="2">
                  <c:v>0.6</c:v>
                </c:pt>
                <c:pt idx="3">
                  <c:v>0.75</c:v>
                </c:pt>
                <c:pt idx="4">
                  <c:v>0.975</c:v>
                </c:pt>
              </c:numCache>
            </c:numRef>
          </c:val>
        </c:ser>
        <c:gapWidth val="60"/>
        <c:overlap val="0"/>
        <c:axId val="7597966"/>
        <c:axId val="86720881"/>
      </c:barChart>
      <c:catAx>
        <c:axId val="759796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720881"/>
        <c:crosses val="autoZero"/>
        <c:auto val="1"/>
        <c:lblAlgn val="ctr"/>
        <c:lblOffset val="100"/>
        <c:noMultiLvlLbl val="0"/>
      </c:catAx>
      <c:valAx>
        <c:axId val="86720881"/>
        <c:scaling>
          <c:orientation val="minMax"/>
        </c:scaling>
        <c:delete val="1"/>
        <c:axPos val="l"/>
        <c:numFmt formatCode="\€0.00;&quot;(€&quot;0.00\);\–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97966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20</xdr:row>
      <xdr:rowOff>0</xdr:rowOff>
    </xdr:from>
    <xdr:to>
      <xdr:col>4</xdr:col>
      <xdr:colOff>913680</xdr:colOff>
      <xdr:row>34</xdr:row>
      <xdr:rowOff>68760</xdr:rowOff>
    </xdr:to>
    <xdr:graphicFrame>
      <xdr:nvGraphicFramePr>
        <xdr:cNvPr id="0" name="Chart 1"/>
        <xdr:cNvGraphicFramePr/>
      </xdr:nvGraphicFramePr>
      <xdr:xfrm>
        <a:off x="222120" y="5010120"/>
        <a:ext cx="4247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20</xdr:row>
      <xdr:rowOff>0</xdr:rowOff>
    </xdr:from>
    <xdr:to>
      <xdr:col>11</xdr:col>
      <xdr:colOff>419400</xdr:colOff>
      <xdr:row>34</xdr:row>
      <xdr:rowOff>68760</xdr:rowOff>
    </xdr:to>
    <xdr:graphicFrame>
      <xdr:nvGraphicFramePr>
        <xdr:cNvPr id="1" name="Chart 2"/>
        <xdr:cNvGraphicFramePr/>
      </xdr:nvGraphicFramePr>
      <xdr:xfrm>
        <a:off x="5778360" y="5010120"/>
        <a:ext cx="5975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DDC97"/>
    <pageSetUpPr fitToPage="true"/>
  </sheetPr>
  <dimension ref="B1:M4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13" min="2" style="0" width="12.5"/>
  </cols>
  <sheetData>
    <row r="1" customFormat="false" ht="33.75" hidden="false" customHeight="true" outlineLevel="0" collapsed="false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9.5" hidden="false" customHeight="true" outlineLevel="0" collapsed="false"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7.5" hidden="false" customHeight="true" outlineLevel="0" collapsed="false"/>
    <row r="4" customFormat="false" ht="24" hidden="false" customHeight="true" outlineLevel="0" collapsed="false">
      <c r="B4" s="3" t="s">
        <v>2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customFormat="false" ht="18" hidden="false" customHeight="true" outlineLevel="0" collapsed="false">
      <c r="B5" s="4" t="s">
        <v>3</v>
      </c>
      <c r="C5" s="4"/>
      <c r="D5" s="5" t="s">
        <v>4</v>
      </c>
      <c r="E5" s="5"/>
      <c r="F5" s="5" t="s">
        <v>5</v>
      </c>
      <c r="G5" s="5"/>
      <c r="H5" s="4" t="s">
        <v>6</v>
      </c>
      <c r="I5" s="4"/>
      <c r="J5" s="5" t="s">
        <v>7</v>
      </c>
      <c r="K5" s="5"/>
      <c r="L5" s="5" t="s">
        <v>8</v>
      </c>
      <c r="M5" s="5"/>
    </row>
    <row r="6" customFormat="false" ht="19.5" hidden="false" customHeight="true" outlineLevel="0" collapsed="false">
      <c r="B6" s="6" t="n">
        <f aca="false">Capacity!C8/1000</f>
        <v>95.25</v>
      </c>
      <c r="C6" s="6"/>
      <c r="D6" s="7" t="n">
        <f aca="false">Capacity!C14</f>
        <v>0.584645669291339</v>
      </c>
      <c r="E6" s="7"/>
      <c r="F6" s="8" t="n">
        <f aca="false">Capacity!C18</f>
        <v>10</v>
      </c>
      <c r="G6" s="8"/>
      <c r="H6" s="9" t="n">
        <f aca="false">Capacity!C23/1000</f>
        <v>445.5</v>
      </c>
      <c r="I6" s="9"/>
      <c r="J6" s="10" t="n">
        <f aca="false">Capacity!C25</f>
        <v>590.2875</v>
      </c>
      <c r="K6" s="10"/>
      <c r="L6" s="11" t="n">
        <f aca="false">(DieselUse/100*(DieselPrice+CarbonPerLitre/1000*CarbonPrice)+ZevTollSaving)/(HydrogenUse/100)</f>
        <v>4.8</v>
      </c>
      <c r="M6" s="11"/>
    </row>
    <row r="7" customFormat="false" ht="19.5" hidden="false" customHeight="true" outlineLevel="0" collapsed="false">
      <c r="B7" s="6"/>
      <c r="C7" s="6"/>
      <c r="D7" s="7"/>
      <c r="E7" s="7"/>
      <c r="F7" s="8"/>
      <c r="G7" s="8"/>
      <c r="H7" s="9"/>
      <c r="I7" s="9"/>
      <c r="J7" s="10"/>
      <c r="K7" s="10"/>
      <c r="L7" s="11"/>
      <c r="M7" s="11"/>
    </row>
    <row r="8" customFormat="false" ht="18" hidden="false" customHeight="true" outlineLevel="0" collapsed="false">
      <c r="B8" s="12" t="s">
        <v>9</v>
      </c>
      <c r="C8" s="12"/>
      <c r="D8" s="13" t="str">
        <f aca="false">TEXT(Capacity!C13/1000,"0.0")&amp;" t/yr for trucks"</f>
        <v>55.7 t/yr for trucks</v>
      </c>
      <c r="E8" s="13"/>
      <c r="F8" s="13" t="s">
        <v>10</v>
      </c>
      <c r="G8" s="13"/>
      <c r="H8" s="12" t="str">
        <f aca="false">"at €"&amp;TEXT(HydrogenPrice,"0.00")&amp;"/kg"</f>
        <v>at €8.00/kg</v>
      </c>
      <c r="I8" s="12"/>
      <c r="J8" s="13" t="s">
        <v>11</v>
      </c>
      <c r="K8" s="13"/>
      <c r="L8" s="13" t="str">
        <f aca="false">"vs diesel at €"&amp;TEXT(CarbonPrice,"0")&amp;"/t CO₂"</f>
        <v>vs diesel at €0/t CO₂</v>
      </c>
      <c r="M8" s="13"/>
    </row>
    <row r="9" customFormat="false" ht="9.75" hidden="false" customHeight="true" outlineLevel="0" collapsed="false"/>
    <row r="10" customFormat="false" ht="24" hidden="false" customHeight="true" outlineLevel="0" collapsed="false">
      <c r="B10" s="3" t="s">
        <v>12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customFormat="false" ht="30" hidden="false" customHeight="true" outlineLevel="0" collapsed="false">
      <c r="B11" s="14" t="s">
        <v>13</v>
      </c>
      <c r="C11" s="14" t="s">
        <v>14</v>
      </c>
      <c r="D11" s="14"/>
      <c r="E11" s="14"/>
      <c r="F11" s="14" t="s">
        <v>15</v>
      </c>
      <c r="G11" s="14" t="s">
        <v>16</v>
      </c>
      <c r="H11" s="14" t="s">
        <v>17</v>
      </c>
      <c r="I11" s="14" t="s">
        <v>18</v>
      </c>
      <c r="J11" s="14" t="s">
        <v>19</v>
      </c>
      <c r="K11" s="14" t="s">
        <v>20</v>
      </c>
      <c r="L11" s="14" t="s">
        <v>21</v>
      </c>
      <c r="M11" s="14"/>
    </row>
    <row r="12" customFormat="false" ht="19.5" hidden="false" customHeight="true" outlineLevel="0" collapsed="false">
      <c r="B12" s="15" t="str">
        <f aca="false">Routes!B6</f>
        <v>A</v>
      </c>
      <c r="C12" s="16" t="str">
        <f aca="false">Routes!C6</f>
        <v>Port-area shuttles</v>
      </c>
      <c r="D12" s="16"/>
      <c r="E12" s="16"/>
      <c r="F12" s="17" t="n">
        <f aca="false">Routes!H6</f>
        <v>180</v>
      </c>
      <c r="G12" s="15" t="str">
        <f aca="false">IF(Routes!K6="Yes","Yes","No")</f>
        <v>Yes</v>
      </c>
      <c r="H12" s="17" t="n">
        <f aca="false">Routes!G6</f>
        <v>4</v>
      </c>
      <c r="I12" s="18" t="n">
        <f aca="false">Routes!L6/1000</f>
        <v>3.375</v>
      </c>
      <c r="J12" s="19" t="n">
        <f aca="false">Routes!I16</f>
        <v>7.2</v>
      </c>
      <c r="K12" s="18" t="n">
        <f aca="false">Routes!K16</f>
        <v>35.775</v>
      </c>
      <c r="L12" s="20" t="n">
        <f aca="false">Routes!M6/1000</f>
        <v>13.5</v>
      </c>
      <c r="M12" s="20"/>
    </row>
    <row r="13" customFormat="false" ht="19.5" hidden="false" customHeight="true" outlineLevel="0" collapsed="false">
      <c r="B13" s="21" t="str">
        <f aca="false">Routes!B7</f>
        <v>B</v>
      </c>
      <c r="C13" s="22" t="str">
        <f aca="false">Routes!C7</f>
        <v>Klaipėda ↔ Šiauliai</v>
      </c>
      <c r="D13" s="22"/>
      <c r="E13" s="22"/>
      <c r="F13" s="23" t="n">
        <f aca="false">Routes!H7</f>
        <v>320</v>
      </c>
      <c r="G13" s="21" t="str">
        <f aca="false">IF(Routes!K7="Yes","Yes","No")</f>
        <v>Yes</v>
      </c>
      <c r="H13" s="23" t="n">
        <f aca="false">Routes!G7</f>
        <v>3</v>
      </c>
      <c r="I13" s="24" t="n">
        <f aca="false">Routes!L7/1000</f>
        <v>6</v>
      </c>
      <c r="J13" s="25" t="n">
        <f aca="false">Routes!I17</f>
        <v>76.8</v>
      </c>
      <c r="K13" s="24" t="n">
        <f aca="false">Routes!K17</f>
        <v>63.6</v>
      </c>
      <c r="L13" s="26" t="n">
        <f aca="false">Routes!M7/1000</f>
        <v>18</v>
      </c>
      <c r="M13" s="26"/>
    </row>
    <row r="14" customFormat="false" ht="19.5" hidden="false" customHeight="true" outlineLevel="0" collapsed="false">
      <c r="B14" s="15" t="str">
        <f aca="false">Routes!B8</f>
        <v>C</v>
      </c>
      <c r="C14" s="16" t="str">
        <f aca="false">Routes!C8</f>
        <v>Klaipėda ↔ Kaunas</v>
      </c>
      <c r="D14" s="16"/>
      <c r="E14" s="16"/>
      <c r="F14" s="17" t="n">
        <f aca="false">Routes!H8</f>
        <v>430</v>
      </c>
      <c r="G14" s="15" t="str">
        <f aca="false">IF(Routes!K8="Yes","Yes","No")</f>
        <v>No</v>
      </c>
      <c r="H14" s="17" t="n">
        <f aca="false">Routes!G8</f>
        <v>3</v>
      </c>
      <c r="I14" s="18" t="n">
        <f aca="false">Routes!L8/1000</f>
        <v>8.0625</v>
      </c>
      <c r="J14" s="19" t="n">
        <f aca="false">Routes!I18</f>
        <v>103.2</v>
      </c>
      <c r="K14" s="18" t="n">
        <f aca="false">Routes!K18</f>
        <v>85.4625</v>
      </c>
      <c r="L14" s="20" t="n">
        <f aca="false">Routes!M8/1000</f>
        <v>24.1875</v>
      </c>
      <c r="M14" s="20"/>
    </row>
    <row r="15" customFormat="false" ht="19.5" hidden="false" customHeight="true" outlineLevel="0" collapsed="false">
      <c r="B15" s="21" t="str">
        <f aca="false">Routes!B9</f>
        <v>D</v>
      </c>
      <c r="C15" s="22" t="str">
        <f aca="false">Routes!C9</f>
        <v>Klaipėda ↔ Vilnius</v>
      </c>
      <c r="D15" s="22"/>
      <c r="E15" s="22"/>
      <c r="F15" s="23" t="n">
        <f aca="false">Routes!H9</f>
        <v>620</v>
      </c>
      <c r="G15" s="21" t="str">
        <f aca="false">IF(Routes!K9="Yes","Yes","No")</f>
        <v>No</v>
      </c>
      <c r="H15" s="23" t="n">
        <f aca="false">Routes!G9</f>
        <v>0</v>
      </c>
      <c r="I15" s="24" t="n">
        <f aca="false">Routes!L9/1000</f>
        <v>11.625</v>
      </c>
      <c r="J15" s="25" t="n">
        <f aca="false">Routes!I19</f>
        <v>148.8</v>
      </c>
      <c r="K15" s="24" t="n">
        <f aca="false">Routes!K19</f>
        <v>123.225</v>
      </c>
      <c r="L15" s="26" t="n">
        <f aca="false">Routes!M9/1000</f>
        <v>0</v>
      </c>
      <c r="M15" s="26"/>
    </row>
    <row r="16" customFormat="false" ht="19.5" hidden="false" customHeight="true" outlineLevel="0" collapsed="false">
      <c r="B16" s="15" t="str">
        <f aca="false">Routes!B10</f>
        <v>E</v>
      </c>
      <c r="C16" s="16" t="str">
        <f aca="false">Routes!C10</f>
        <v>Klaipėda ↔ Riga</v>
      </c>
      <c r="D16" s="16"/>
      <c r="E16" s="16"/>
      <c r="F16" s="17" t="n">
        <f aca="false">Routes!H10</f>
        <v>620</v>
      </c>
      <c r="G16" s="15" t="str">
        <f aca="false">IF(Routes!K10="Yes","Yes","No")</f>
        <v>No</v>
      </c>
      <c r="H16" s="17" t="n">
        <f aca="false">Routes!G10</f>
        <v>0</v>
      </c>
      <c r="I16" s="18" t="n">
        <f aca="false">Routes!L10/1000</f>
        <v>11.625</v>
      </c>
      <c r="J16" s="19" t="n">
        <f aca="false">Routes!I20</f>
        <v>148.8</v>
      </c>
      <c r="K16" s="18" t="n">
        <f aca="false">Routes!K20</f>
        <v>123.225</v>
      </c>
      <c r="L16" s="20" t="n">
        <f aca="false">Routes!M10/1000</f>
        <v>0</v>
      </c>
      <c r="M16" s="20"/>
    </row>
    <row r="17" customFormat="false" ht="19.5" hidden="false" customHeight="true" outlineLevel="0" collapsed="false">
      <c r="B17" s="21" t="str">
        <f aca="false">Routes!B11</f>
        <v>F</v>
      </c>
      <c r="C17" s="22" t="str">
        <f aca="false">Routes!C11</f>
        <v>Klaipėda ↔ Marijampolė</v>
      </c>
      <c r="D17" s="22"/>
      <c r="E17" s="22"/>
      <c r="F17" s="23" t="n">
        <f aca="false">Routes!H11</f>
        <v>550</v>
      </c>
      <c r="G17" s="21" t="str">
        <f aca="false">IF(Routes!K11="Yes","Yes","No")</f>
        <v>No</v>
      </c>
      <c r="H17" s="23" t="n">
        <f aca="false">Routes!G11</f>
        <v>0</v>
      </c>
      <c r="I17" s="24" t="n">
        <f aca="false">Routes!L11/1000</f>
        <v>10.3125</v>
      </c>
      <c r="J17" s="25" t="n">
        <f aca="false">Routes!I21</f>
        <v>132</v>
      </c>
      <c r="K17" s="24" t="n">
        <f aca="false">Routes!K21</f>
        <v>109.3125</v>
      </c>
      <c r="L17" s="26" t="n">
        <f aca="false">Routes!M11/1000</f>
        <v>0</v>
      </c>
      <c r="M17" s="26"/>
    </row>
    <row r="18" customFormat="false" ht="15" hidden="false" customHeight="false" outlineLevel="0" collapsed="false">
      <c r="B18" s="27" t="s">
        <v>22</v>
      </c>
    </row>
    <row r="20" customFormat="false" ht="24" hidden="false" customHeight="true" outlineLevel="0" collapsed="false">
      <c r="B20" s="3" t="s">
        <v>23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38" customFormat="false" ht="24" hidden="false" customHeight="true" outlineLevel="0" collapsed="false">
      <c r="B38" s="3" t="s">
        <v>24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customFormat="false" ht="15" hidden="false" customHeight="false" outlineLevel="0" collapsed="false">
      <c r="B39" s="28" t="s">
        <v>25</v>
      </c>
      <c r="C39" s="28"/>
      <c r="D39" s="29" t="s">
        <v>26</v>
      </c>
      <c r="F39" s="28" t="s">
        <v>27</v>
      </c>
      <c r="G39" s="28"/>
      <c r="H39" s="28"/>
      <c r="I39" s="29" t="s">
        <v>28</v>
      </c>
    </row>
    <row r="40" customFormat="false" ht="15" hidden="false" customHeight="false" outlineLevel="0" collapsed="false">
      <c r="B40" s="30" t="s">
        <v>29</v>
      </c>
      <c r="C40" s="30"/>
      <c r="D40" s="24" t="n">
        <f aca="false">Capacity!C7/1000</f>
        <v>31.75</v>
      </c>
      <c r="F40" s="30" t="str">
        <f aca="false">"Diesel at €"&amp;TEXT(CarbonPrice,"0")&amp;"/t CO₂"</f>
        <v>Diesel at €0/t CO₂</v>
      </c>
      <c r="G40" s="30"/>
      <c r="H40" s="30"/>
      <c r="I40" s="31" t="n">
        <f aca="false">DieselUse/100*(DieselPrice+CarbonPerLitre/1000*CarbonPrice)</f>
        <v>0.36</v>
      </c>
    </row>
    <row r="41" customFormat="false" ht="15" hidden="false" customHeight="false" outlineLevel="0" collapsed="false">
      <c r="B41" s="30" t="s">
        <v>30</v>
      </c>
      <c r="C41" s="30"/>
      <c r="D41" s="24" t="n">
        <f aca="false">Capacity!C13/1000</f>
        <v>55.6875</v>
      </c>
      <c r="F41" s="30" t="s">
        <v>31</v>
      </c>
      <c r="G41" s="30"/>
      <c r="H41" s="30"/>
      <c r="I41" s="31" t="n">
        <f aca="false">DieselUse/100*(DieselPrice+CarbonPerLitre/1000*200)</f>
        <v>0.519</v>
      </c>
    </row>
    <row r="42" customFormat="false" ht="15" hidden="false" customHeight="false" outlineLevel="0" collapsed="false">
      <c r="B42" s="30" t="s">
        <v>32</v>
      </c>
      <c r="C42" s="30"/>
      <c r="D42" s="24" t="n">
        <f aca="false">MAX(0,Capacity!C15/1000)</f>
        <v>39.5625</v>
      </c>
      <c r="F42" s="30" t="str">
        <f aca="false">"H₂ at €"&amp;TEXT(HydrogenPrice,"0.00")&amp;"/kg"</f>
        <v>H₂ at €8.00/kg</v>
      </c>
      <c r="G42" s="30"/>
      <c r="H42" s="30"/>
      <c r="I42" s="31" t="n">
        <f aca="false">HydrogenUse/100*HydrogenPrice</f>
        <v>0.6</v>
      </c>
    </row>
    <row r="43" customFormat="false" ht="15" hidden="false" customHeight="false" outlineLevel="0" collapsed="false">
      <c r="F43" s="30" t="s">
        <v>33</v>
      </c>
      <c r="G43" s="30"/>
      <c r="H43" s="30"/>
      <c r="I43" s="31" t="n">
        <f aca="false">HydrogenUse/100*10</f>
        <v>0.75</v>
      </c>
    </row>
    <row r="44" customFormat="false" ht="15" hidden="false" customHeight="false" outlineLevel="0" collapsed="false">
      <c r="F44" s="30" t="s">
        <v>34</v>
      </c>
      <c r="G44" s="30"/>
      <c r="H44" s="30"/>
      <c r="I44" s="31" t="n">
        <f aca="false">HydrogenUse/100*13</f>
        <v>0.975</v>
      </c>
    </row>
  </sheetData>
  <mergeCells count="48">
    <mergeCell ref="B1:M1"/>
    <mergeCell ref="B2:M2"/>
    <mergeCell ref="B4:M4"/>
    <mergeCell ref="B5:C5"/>
    <mergeCell ref="D5:E5"/>
    <mergeCell ref="F5:G5"/>
    <mergeCell ref="H5:I5"/>
    <mergeCell ref="J5:K5"/>
    <mergeCell ref="L5:M5"/>
    <mergeCell ref="B6:C7"/>
    <mergeCell ref="D6:E7"/>
    <mergeCell ref="F6:G7"/>
    <mergeCell ref="H6:I7"/>
    <mergeCell ref="J6:K7"/>
    <mergeCell ref="L6:M7"/>
    <mergeCell ref="B8:C8"/>
    <mergeCell ref="D8:E8"/>
    <mergeCell ref="F8:G8"/>
    <mergeCell ref="H8:I8"/>
    <mergeCell ref="J8:K8"/>
    <mergeCell ref="L8:M8"/>
    <mergeCell ref="B10:M10"/>
    <mergeCell ref="C11:E11"/>
    <mergeCell ref="L11:M11"/>
    <mergeCell ref="C12:E12"/>
    <mergeCell ref="L12:M12"/>
    <mergeCell ref="C13:E13"/>
    <mergeCell ref="L13:M13"/>
    <mergeCell ref="C14:E14"/>
    <mergeCell ref="L14:M14"/>
    <mergeCell ref="C15:E15"/>
    <mergeCell ref="L15:M15"/>
    <mergeCell ref="C16:E16"/>
    <mergeCell ref="L16:M16"/>
    <mergeCell ref="C17:E17"/>
    <mergeCell ref="L17:M17"/>
    <mergeCell ref="B20:M20"/>
    <mergeCell ref="B38:M38"/>
    <mergeCell ref="B39:C39"/>
    <mergeCell ref="F39:H39"/>
    <mergeCell ref="B40:C40"/>
    <mergeCell ref="F40:H40"/>
    <mergeCell ref="B41:C41"/>
    <mergeCell ref="F41:H41"/>
    <mergeCell ref="B42:C42"/>
    <mergeCell ref="F42:H42"/>
    <mergeCell ref="F43:H43"/>
    <mergeCell ref="F44:H44"/>
  </mergeCells>
  <conditionalFormatting sqref="G12:G17">
    <cfRule type="expression" priority="2" aboveAverage="0" equalAverage="0" bottom="0" percent="0" rank="0" text="" dxfId="0">
      <formula>G12="Yes"</formula>
    </cfRule>
    <cfRule type="expression" priority="3" aboveAverage="0" equalAverage="0" bottom="0" percent="0" rank="0" text="" dxfId="1">
      <formula>G12&lt;&gt;"Yes"</formula>
    </cfRule>
  </conditionalFormatting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2545"/>
    <pageSetUpPr fitToPage="true"/>
  </sheetPr>
  <dimension ref="B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16"/>
    <col collapsed="false" customWidth="true" hidden="false" outlineLevel="0" max="3" min="3" style="0" width="44"/>
    <col collapsed="false" customWidth="true" hidden="false" outlineLevel="0" max="5" min="4" style="0" width="13"/>
    <col collapsed="false" customWidth="true" hidden="false" outlineLevel="0" max="6" min="6" style="0" width="78"/>
  </cols>
  <sheetData>
    <row r="1" customFormat="false" ht="33.75" hidden="false" customHeight="true" outlineLevel="0" collapsed="false">
      <c r="B1" s="1" t="s">
        <v>35</v>
      </c>
      <c r="C1" s="1"/>
      <c r="D1" s="1"/>
      <c r="E1" s="1"/>
      <c r="F1" s="1"/>
    </row>
    <row r="2" customFormat="false" ht="19.5" hidden="false" customHeight="true" outlineLevel="0" collapsed="false">
      <c r="B2" s="2" t="s">
        <v>36</v>
      </c>
      <c r="C2" s="2"/>
      <c r="D2" s="2"/>
      <c r="E2" s="2"/>
      <c r="F2" s="2"/>
    </row>
    <row r="3" customFormat="false" ht="7.5" hidden="false" customHeight="true" outlineLevel="0" collapsed="false"/>
    <row r="4" customFormat="false" ht="15" hidden="false" customHeight="false" outlineLevel="0" collapsed="false">
      <c r="B4" s="32" t="s">
        <v>37</v>
      </c>
      <c r="C4" s="33" t="s">
        <v>38</v>
      </c>
      <c r="D4" s="34" t="s">
        <v>39</v>
      </c>
      <c r="E4" s="35" t="s">
        <v>40</v>
      </c>
    </row>
    <row r="6" customFormat="false" ht="31.5" hidden="false" customHeight="true" outlineLevel="0" collapsed="false">
      <c r="B6" s="14" t="s">
        <v>41</v>
      </c>
      <c r="C6" s="14" t="s">
        <v>42</v>
      </c>
      <c r="D6" s="14" t="s">
        <v>43</v>
      </c>
      <c r="E6" s="14" t="s">
        <v>44</v>
      </c>
      <c r="F6" s="14" t="s">
        <v>45</v>
      </c>
    </row>
    <row r="7" customFormat="false" ht="19.5" hidden="false" customHeight="true" outlineLevel="0" collapsed="false">
      <c r="B7" s="36" t="s">
        <v>46</v>
      </c>
      <c r="C7" s="30" t="s">
        <v>47</v>
      </c>
      <c r="D7" s="37" t="n">
        <v>127000</v>
      </c>
      <c r="E7" s="38" t="s">
        <v>48</v>
      </c>
      <c r="F7" s="39" t="s">
        <v>49</v>
      </c>
    </row>
    <row r="8" customFormat="false" ht="19.5" hidden="false" customHeight="true" outlineLevel="0" collapsed="false">
      <c r="B8" s="36"/>
      <c r="C8" s="30" t="s">
        <v>50</v>
      </c>
      <c r="D8" s="37" t="n">
        <v>500</v>
      </c>
      <c r="E8" s="38" t="s">
        <v>51</v>
      </c>
      <c r="F8" s="39" t="s">
        <v>52</v>
      </c>
    </row>
    <row r="9" customFormat="false" ht="19.5" hidden="false" customHeight="true" outlineLevel="0" collapsed="false">
      <c r="B9" s="36"/>
      <c r="C9" s="30" t="s">
        <v>53</v>
      </c>
      <c r="D9" s="40" t="n">
        <v>0.25</v>
      </c>
      <c r="E9" s="38" t="s">
        <v>54</v>
      </c>
      <c r="F9" s="39" t="s">
        <v>55</v>
      </c>
    </row>
    <row r="10" customFormat="false" ht="19.5" hidden="false" customHeight="true" outlineLevel="0" collapsed="false">
      <c r="B10" s="36" t="s">
        <v>56</v>
      </c>
      <c r="C10" s="30" t="s">
        <v>57</v>
      </c>
      <c r="D10" s="41" t="n">
        <v>8</v>
      </c>
      <c r="E10" s="38" t="s">
        <v>58</v>
      </c>
      <c r="F10" s="39" t="s">
        <v>59</v>
      </c>
    </row>
    <row r="11" customFormat="false" ht="19.5" hidden="false" customHeight="true" outlineLevel="0" collapsed="false">
      <c r="B11" s="36"/>
      <c r="C11" s="30" t="s">
        <v>60</v>
      </c>
      <c r="D11" s="41" t="n">
        <v>1.2</v>
      </c>
      <c r="E11" s="38" t="s">
        <v>61</v>
      </c>
      <c r="F11" s="39" t="s">
        <v>62</v>
      </c>
    </row>
    <row r="12" customFormat="false" ht="19.5" hidden="false" customHeight="true" outlineLevel="0" collapsed="false">
      <c r="B12" s="36"/>
      <c r="C12" s="30" t="s">
        <v>63</v>
      </c>
      <c r="D12" s="42" t="n">
        <v>0</v>
      </c>
      <c r="E12" s="38" t="s">
        <v>64</v>
      </c>
      <c r="F12" s="39" t="s">
        <v>65</v>
      </c>
    </row>
    <row r="13" customFormat="false" ht="19.5" hidden="false" customHeight="true" outlineLevel="0" collapsed="false">
      <c r="B13" s="36"/>
      <c r="C13" s="30" t="s">
        <v>66</v>
      </c>
      <c r="D13" s="43" t="n">
        <v>2.65</v>
      </c>
      <c r="E13" s="38" t="s">
        <v>67</v>
      </c>
      <c r="F13" s="39" t="s">
        <v>68</v>
      </c>
    </row>
    <row r="14" customFormat="false" ht="19.5" hidden="false" customHeight="true" outlineLevel="0" collapsed="false">
      <c r="B14" s="36" t="s">
        <v>69</v>
      </c>
      <c r="C14" s="30" t="s">
        <v>70</v>
      </c>
      <c r="D14" s="44" t="n">
        <v>31.5</v>
      </c>
      <c r="E14" s="38" t="s">
        <v>71</v>
      </c>
      <c r="F14" s="39" t="s">
        <v>72</v>
      </c>
    </row>
    <row r="15" customFormat="false" ht="19.5" hidden="false" customHeight="true" outlineLevel="0" collapsed="false">
      <c r="B15" s="36"/>
      <c r="C15" s="30" t="s">
        <v>73</v>
      </c>
      <c r="D15" s="44" t="n">
        <v>7.5</v>
      </c>
      <c r="E15" s="38" t="s">
        <v>74</v>
      </c>
      <c r="F15" s="39" t="s">
        <v>75</v>
      </c>
    </row>
    <row r="16" customFormat="false" ht="19.5" hidden="false" customHeight="true" outlineLevel="0" collapsed="false">
      <c r="B16" s="36"/>
      <c r="C16" s="30" t="s">
        <v>76</v>
      </c>
      <c r="D16" s="44" t="n">
        <v>30</v>
      </c>
      <c r="E16" s="38" t="s">
        <v>77</v>
      </c>
      <c r="F16" s="39" t="s">
        <v>78</v>
      </c>
    </row>
    <row r="17" customFormat="false" ht="19.5" hidden="false" customHeight="true" outlineLevel="0" collapsed="false">
      <c r="B17" s="36"/>
      <c r="C17" s="30" t="s">
        <v>79</v>
      </c>
      <c r="D17" s="40" t="n">
        <v>0.15</v>
      </c>
      <c r="E17" s="38" t="s">
        <v>54</v>
      </c>
      <c r="F17" s="39" t="s">
        <v>80</v>
      </c>
    </row>
    <row r="18" customFormat="false" ht="19.5" hidden="false" customHeight="true" outlineLevel="0" collapsed="false">
      <c r="B18" s="36"/>
      <c r="C18" s="30" t="s">
        <v>81</v>
      </c>
      <c r="D18" s="37" t="n">
        <v>250</v>
      </c>
      <c r="E18" s="38" t="s">
        <v>82</v>
      </c>
      <c r="F18" s="39" t="s">
        <v>83</v>
      </c>
    </row>
    <row r="19" customFormat="false" ht="19.5" hidden="false" customHeight="true" outlineLevel="0" collapsed="false">
      <c r="B19" s="36"/>
      <c r="C19" s="30" t="s">
        <v>84</v>
      </c>
      <c r="D19" s="42" t="n">
        <v>0</v>
      </c>
      <c r="E19" s="38" t="s">
        <v>85</v>
      </c>
      <c r="F19" s="39" t="s">
        <v>86</v>
      </c>
    </row>
    <row r="20" customFormat="false" ht="19.5" hidden="false" customHeight="true" outlineLevel="0" collapsed="false">
      <c r="B20" s="36"/>
      <c r="C20" s="30" t="s">
        <v>87</v>
      </c>
      <c r="D20" s="45" t="n">
        <v>0</v>
      </c>
      <c r="E20" s="38" t="s">
        <v>28</v>
      </c>
      <c r="F20" s="39" t="s">
        <v>88</v>
      </c>
    </row>
  </sheetData>
  <mergeCells count="5">
    <mergeCell ref="B1:F1"/>
    <mergeCell ref="B2:F2"/>
    <mergeCell ref="B7:B9"/>
    <mergeCell ref="B10:B13"/>
    <mergeCell ref="B14:B20"/>
  </mergeCells>
  <dataValidations count="2">
    <dataValidation allowBlank="false" error="Enter a share between 0% and 100%." errorStyle="stop" errorTitle="Share" operator="between" showDropDown="false" showErrorMessage="false" showInputMessage="false" sqref="D9 D17" type="decimal">
      <formula1>0</formula1>
      <formula2>1</formula2>
    </dataValidation>
    <dataValidation allowBlank="false" error="Enter zero or a positive number." errorStyle="stop" errorTitle="Value" operator="greaterThanOrEqual" showDropDown="false" showErrorMessage="false" showInputMessage="false" sqref="D7:D8 D10:D16 D18:D20" type="decimal">
      <formula1>0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3828A"/>
    <pageSetUpPr fitToPage="true"/>
  </sheetPr>
  <dimension ref="B1:M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7"/>
    <col collapsed="false" customWidth="true" hidden="false" outlineLevel="0" max="3" min="3" style="0" width="24"/>
    <col collapsed="false" customWidth="true" hidden="false" outlineLevel="0" max="4" min="4" style="0" width="46"/>
    <col collapsed="false" customWidth="true" hidden="false" outlineLevel="0" max="6" min="5" style="0" width="11"/>
    <col collapsed="false" customWidth="true" hidden="false" outlineLevel="0" max="7" min="7" style="0" width="10"/>
    <col collapsed="false" customWidth="true" hidden="false" outlineLevel="0" max="8" min="8" style="0" width="11"/>
    <col collapsed="false" customWidth="true" hidden="false" outlineLevel="0" max="10" min="9" style="0" width="12"/>
    <col collapsed="false" customWidth="true" hidden="false" outlineLevel="0" max="11" min="11" style="0" width="19"/>
    <col collapsed="false" customWidth="true" hidden="false" outlineLevel="0" max="13" min="12" style="0" width="13"/>
  </cols>
  <sheetData>
    <row r="1" customFormat="false" ht="33.75" hidden="false" customHeight="true" outlineLevel="0" collapsed="false">
      <c r="B1" s="1" t="s">
        <v>89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9.5" hidden="false" customHeight="true" outlineLevel="0" collapsed="false">
      <c r="B2" s="2" t="s">
        <v>90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7.5" hidden="false" customHeight="true" outlineLevel="0" collapsed="false"/>
    <row r="4" customFormat="false" ht="24" hidden="false" customHeight="true" outlineLevel="0" collapsed="false">
      <c r="B4" s="3" t="s">
        <v>91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customFormat="false" ht="36" hidden="false" customHeight="true" outlineLevel="0" collapsed="false">
      <c r="B5" s="14" t="s">
        <v>13</v>
      </c>
      <c r="C5" s="14" t="s">
        <v>14</v>
      </c>
      <c r="D5" s="14" t="s">
        <v>92</v>
      </c>
      <c r="E5" s="14" t="s">
        <v>93</v>
      </c>
      <c r="F5" s="14" t="s">
        <v>94</v>
      </c>
      <c r="G5" s="14" t="s">
        <v>95</v>
      </c>
      <c r="H5" s="14" t="s">
        <v>96</v>
      </c>
      <c r="I5" s="14" t="s">
        <v>97</v>
      </c>
      <c r="J5" s="14" t="s">
        <v>98</v>
      </c>
      <c r="K5" s="14" t="s">
        <v>16</v>
      </c>
      <c r="L5" s="14" t="s">
        <v>99</v>
      </c>
      <c r="M5" s="14" t="s">
        <v>100</v>
      </c>
    </row>
    <row r="6" customFormat="false" ht="30" hidden="false" customHeight="true" outlineLevel="0" collapsed="false">
      <c r="B6" s="46" t="s">
        <v>101</v>
      </c>
      <c r="C6" s="47" t="s">
        <v>102</v>
      </c>
      <c r="D6" s="48" t="s">
        <v>103</v>
      </c>
      <c r="E6" s="37" t="n">
        <v>15</v>
      </c>
      <c r="F6" s="37" t="n">
        <v>6</v>
      </c>
      <c r="G6" s="49" t="n">
        <v>4</v>
      </c>
      <c r="H6" s="50" t="n">
        <f aca="false">2*E6*F6</f>
        <v>180</v>
      </c>
      <c r="I6" s="51" t="n">
        <f aca="false">H6*HydrogenUse/100</f>
        <v>13.5</v>
      </c>
      <c r="J6" s="51" t="n">
        <f aca="false">TankSize*(1-ReserveShare)</f>
        <v>26.775</v>
      </c>
      <c r="K6" s="46" t="str">
        <f aca="false">IF(I6/F6&lt;=J6,"Yes","No – refuel at far end")</f>
        <v>Yes</v>
      </c>
      <c r="L6" s="50" t="n">
        <f aca="false">I6*WorkDays</f>
        <v>3375</v>
      </c>
      <c r="M6" s="52" t="n">
        <f aca="false">L6*G6</f>
        <v>13500</v>
      </c>
    </row>
    <row r="7" customFormat="false" ht="30" hidden="false" customHeight="true" outlineLevel="0" collapsed="false">
      <c r="B7" s="46" t="s">
        <v>104</v>
      </c>
      <c r="C7" s="47" t="s">
        <v>105</v>
      </c>
      <c r="D7" s="48" t="s">
        <v>106</v>
      </c>
      <c r="E7" s="37" t="n">
        <v>160</v>
      </c>
      <c r="F7" s="37" t="n">
        <v>1</v>
      </c>
      <c r="G7" s="49" t="n">
        <v>3</v>
      </c>
      <c r="H7" s="50" t="n">
        <f aca="false">2*E7*F7</f>
        <v>320</v>
      </c>
      <c r="I7" s="51" t="n">
        <f aca="false">H7*HydrogenUse/100</f>
        <v>24</v>
      </c>
      <c r="J7" s="51" t="n">
        <f aca="false">TankSize*(1-ReserveShare)</f>
        <v>26.775</v>
      </c>
      <c r="K7" s="46" t="str">
        <f aca="false">IF(I7/F7&lt;=J7,"Yes","No – refuel at far end")</f>
        <v>Yes</v>
      </c>
      <c r="L7" s="50" t="n">
        <f aca="false">I7*WorkDays</f>
        <v>6000</v>
      </c>
      <c r="M7" s="52" t="n">
        <f aca="false">L7*G7</f>
        <v>18000</v>
      </c>
    </row>
    <row r="8" customFormat="false" ht="30" hidden="false" customHeight="true" outlineLevel="0" collapsed="false">
      <c r="B8" s="46" t="s">
        <v>107</v>
      </c>
      <c r="C8" s="47" t="s">
        <v>108</v>
      </c>
      <c r="D8" s="48" t="s">
        <v>109</v>
      </c>
      <c r="E8" s="37" t="n">
        <v>215</v>
      </c>
      <c r="F8" s="37" t="n">
        <v>1</v>
      </c>
      <c r="G8" s="49" t="n">
        <v>3</v>
      </c>
      <c r="H8" s="50" t="n">
        <f aca="false">2*E8*F8</f>
        <v>430</v>
      </c>
      <c r="I8" s="51" t="n">
        <f aca="false">H8*HydrogenUse/100</f>
        <v>32.25</v>
      </c>
      <c r="J8" s="51" t="n">
        <f aca="false">TankSize*(1-ReserveShare)</f>
        <v>26.775</v>
      </c>
      <c r="K8" s="46" t="str">
        <f aca="false">IF(I8/F8&lt;=J8,"Yes","No – refuel at far end")</f>
        <v>No – refuel at far end</v>
      </c>
      <c r="L8" s="50" t="n">
        <f aca="false">I8*WorkDays</f>
        <v>8062.5</v>
      </c>
      <c r="M8" s="52" t="n">
        <f aca="false">L8*G8</f>
        <v>24187.5</v>
      </c>
    </row>
    <row r="9" customFormat="false" ht="30" hidden="false" customHeight="true" outlineLevel="0" collapsed="false">
      <c r="B9" s="46" t="s">
        <v>110</v>
      </c>
      <c r="C9" s="47" t="s">
        <v>111</v>
      </c>
      <c r="D9" s="48" t="s">
        <v>112</v>
      </c>
      <c r="E9" s="37" t="n">
        <v>310</v>
      </c>
      <c r="F9" s="37" t="n">
        <v>1</v>
      </c>
      <c r="G9" s="49" t="n">
        <v>0</v>
      </c>
      <c r="H9" s="50" t="n">
        <f aca="false">2*E9*F9</f>
        <v>620</v>
      </c>
      <c r="I9" s="51" t="n">
        <f aca="false">H9*HydrogenUse/100</f>
        <v>46.5</v>
      </c>
      <c r="J9" s="51" t="n">
        <f aca="false">TankSize*(1-ReserveShare)</f>
        <v>26.775</v>
      </c>
      <c r="K9" s="46" t="str">
        <f aca="false">IF(I9/F9&lt;=J9,"Yes","No – refuel at far end")</f>
        <v>No – refuel at far end</v>
      </c>
      <c r="L9" s="50" t="n">
        <f aca="false">I9*WorkDays</f>
        <v>11625</v>
      </c>
      <c r="M9" s="52" t="n">
        <f aca="false">L9*G9</f>
        <v>0</v>
      </c>
    </row>
    <row r="10" customFormat="false" ht="30" hidden="false" customHeight="true" outlineLevel="0" collapsed="false">
      <c r="B10" s="46" t="s">
        <v>113</v>
      </c>
      <c r="C10" s="47" t="s">
        <v>114</v>
      </c>
      <c r="D10" s="48" t="s">
        <v>115</v>
      </c>
      <c r="E10" s="37" t="n">
        <v>310</v>
      </c>
      <c r="F10" s="37" t="n">
        <v>1</v>
      </c>
      <c r="G10" s="49" t="n">
        <v>0</v>
      </c>
      <c r="H10" s="50" t="n">
        <f aca="false">2*E10*F10</f>
        <v>620</v>
      </c>
      <c r="I10" s="51" t="n">
        <f aca="false">H10*HydrogenUse/100</f>
        <v>46.5</v>
      </c>
      <c r="J10" s="51" t="n">
        <f aca="false">TankSize*(1-ReserveShare)</f>
        <v>26.775</v>
      </c>
      <c r="K10" s="46" t="str">
        <f aca="false">IF(I10/F10&lt;=J10,"Yes","No – refuel at far end")</f>
        <v>No – refuel at far end</v>
      </c>
      <c r="L10" s="50" t="n">
        <f aca="false">I10*WorkDays</f>
        <v>11625</v>
      </c>
      <c r="M10" s="52" t="n">
        <f aca="false">L10*G10</f>
        <v>0</v>
      </c>
    </row>
    <row r="11" customFormat="false" ht="30" hidden="false" customHeight="true" outlineLevel="0" collapsed="false">
      <c r="B11" s="46" t="s">
        <v>116</v>
      </c>
      <c r="C11" s="47" t="s">
        <v>117</v>
      </c>
      <c r="D11" s="48" t="s">
        <v>118</v>
      </c>
      <c r="E11" s="37" t="n">
        <v>275</v>
      </c>
      <c r="F11" s="37" t="n">
        <v>1</v>
      </c>
      <c r="G11" s="49" t="n">
        <v>0</v>
      </c>
      <c r="H11" s="50" t="n">
        <f aca="false">2*E11*F11</f>
        <v>550</v>
      </c>
      <c r="I11" s="51" t="n">
        <f aca="false">H11*HydrogenUse/100</f>
        <v>41.25</v>
      </c>
      <c r="J11" s="51" t="n">
        <f aca="false">TankSize*(1-ReserveShare)</f>
        <v>26.775</v>
      </c>
      <c r="K11" s="46" t="str">
        <f aca="false">IF(I11/F11&lt;=J11,"Yes","No – refuel at far end")</f>
        <v>No – refuel at far end</v>
      </c>
      <c r="L11" s="50" t="n">
        <f aca="false">I11*WorkDays</f>
        <v>10312.5</v>
      </c>
      <c r="M11" s="52" t="n">
        <f aca="false">L11*G11</f>
        <v>0</v>
      </c>
    </row>
    <row r="12" customFormat="false" ht="15" hidden="false" customHeight="false" outlineLevel="0" collapsed="false">
      <c r="B12" s="53" t="s">
        <v>119</v>
      </c>
      <c r="C12" s="53"/>
      <c r="D12" s="53"/>
      <c r="E12" s="53"/>
      <c r="F12" s="53"/>
      <c r="G12" s="54" t="n">
        <f aca="false">SUM(G6:G11)</f>
        <v>10</v>
      </c>
      <c r="H12" s="55"/>
      <c r="I12" s="55"/>
      <c r="J12" s="55"/>
      <c r="K12" s="55"/>
      <c r="L12" s="55"/>
      <c r="M12" s="54" t="n">
        <f aca="false">SUM(M6:M11)</f>
        <v>55687.5</v>
      </c>
    </row>
    <row r="14" customFormat="false" ht="24" hidden="false" customHeight="true" outlineLevel="0" collapsed="false">
      <c r="B14" s="3" t="s">
        <v>120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customFormat="false" ht="43.5" hidden="false" customHeight="true" outlineLevel="0" collapsed="false">
      <c r="B15" s="14" t="s">
        <v>13</v>
      </c>
      <c r="C15" s="14" t="s">
        <v>14</v>
      </c>
      <c r="D15" s="14"/>
      <c r="E15" s="14" t="s">
        <v>121</v>
      </c>
      <c r="F15" s="14" t="s">
        <v>122</v>
      </c>
      <c r="G15" s="14" t="s">
        <v>123</v>
      </c>
      <c r="H15" s="14" t="s">
        <v>124</v>
      </c>
      <c r="I15" s="14" t="s">
        <v>125</v>
      </c>
      <c r="J15" s="14" t="s">
        <v>126</v>
      </c>
      <c r="K15" s="14" t="s">
        <v>127</v>
      </c>
      <c r="L15" s="14" t="s">
        <v>128</v>
      </c>
      <c r="M15" s="56"/>
    </row>
    <row r="16" customFormat="false" ht="21.75" hidden="false" customHeight="true" outlineLevel="0" collapsed="false">
      <c r="B16" s="46" t="str">
        <f aca="false">B6</f>
        <v>A</v>
      </c>
      <c r="C16" s="47" t="str">
        <f aca="false">C6</f>
        <v>Port-area shuttles</v>
      </c>
      <c r="D16" s="47"/>
      <c r="E16" s="31" t="n">
        <f aca="false">DieselUse/100*DieselPrice</f>
        <v>0.36</v>
      </c>
      <c r="F16" s="31" t="n">
        <f aca="false">DieselUse/100*CarbonPerLitre/1000*CarbonPrice</f>
        <v>0</v>
      </c>
      <c r="G16" s="31" t="n">
        <f aca="false">HydrogenUse/100*HydrogenPrice</f>
        <v>0.6</v>
      </c>
      <c r="H16" s="57" t="n">
        <f aca="false">G16-E16-F16-ZevTollSaving</f>
        <v>0.24</v>
      </c>
      <c r="I16" s="58" t="n">
        <f aca="false">H16*2*E6</f>
        <v>7.2</v>
      </c>
      <c r="J16" s="59" t="n">
        <f aca="false">H16*H6*WorkDays+TruckPremium</f>
        <v>10800</v>
      </c>
      <c r="K16" s="51" t="n">
        <f aca="false">H6*WorkDays*DieselUse/100*CarbonPerLitre/1000</f>
        <v>35.775</v>
      </c>
      <c r="L16" s="59" t="n">
        <f aca="false">IF(K16&gt;0,J16/K16,0)</f>
        <v>301.88679245283</v>
      </c>
      <c r="M16" s="60"/>
    </row>
    <row r="17" customFormat="false" ht="21.75" hidden="false" customHeight="true" outlineLevel="0" collapsed="false">
      <c r="B17" s="46" t="str">
        <f aca="false">B7</f>
        <v>B</v>
      </c>
      <c r="C17" s="47" t="str">
        <f aca="false">C7</f>
        <v>Klaipėda ↔ Šiauliai</v>
      </c>
      <c r="D17" s="47"/>
      <c r="E17" s="31" t="n">
        <f aca="false">DieselUse/100*DieselPrice</f>
        <v>0.36</v>
      </c>
      <c r="F17" s="31" t="n">
        <f aca="false">DieselUse/100*CarbonPerLitre/1000*CarbonPrice</f>
        <v>0</v>
      </c>
      <c r="G17" s="31" t="n">
        <f aca="false">HydrogenUse/100*HydrogenPrice</f>
        <v>0.6</v>
      </c>
      <c r="H17" s="57" t="n">
        <f aca="false">G17-E17-F17-ZevTollSaving</f>
        <v>0.24</v>
      </c>
      <c r="I17" s="58" t="n">
        <f aca="false">H17*2*E7</f>
        <v>76.8</v>
      </c>
      <c r="J17" s="59" t="n">
        <f aca="false">H17*H7*WorkDays+TruckPremium</f>
        <v>19200</v>
      </c>
      <c r="K17" s="51" t="n">
        <f aca="false">H7*WorkDays*DieselUse/100*CarbonPerLitre/1000</f>
        <v>63.6</v>
      </c>
      <c r="L17" s="59" t="n">
        <f aca="false">IF(K17&gt;0,J17/K17,0)</f>
        <v>301.88679245283</v>
      </c>
      <c r="M17" s="60"/>
    </row>
    <row r="18" customFormat="false" ht="21.75" hidden="false" customHeight="true" outlineLevel="0" collapsed="false">
      <c r="B18" s="46" t="str">
        <f aca="false">B8</f>
        <v>C</v>
      </c>
      <c r="C18" s="47" t="str">
        <f aca="false">C8</f>
        <v>Klaipėda ↔ Kaunas</v>
      </c>
      <c r="D18" s="47"/>
      <c r="E18" s="31" t="n">
        <f aca="false">DieselUse/100*DieselPrice</f>
        <v>0.36</v>
      </c>
      <c r="F18" s="31" t="n">
        <f aca="false">DieselUse/100*CarbonPerLitre/1000*CarbonPrice</f>
        <v>0</v>
      </c>
      <c r="G18" s="31" t="n">
        <f aca="false">HydrogenUse/100*HydrogenPrice</f>
        <v>0.6</v>
      </c>
      <c r="H18" s="57" t="n">
        <f aca="false">G18-E18-F18-ZevTollSaving</f>
        <v>0.24</v>
      </c>
      <c r="I18" s="58" t="n">
        <f aca="false">H18*2*E8</f>
        <v>103.2</v>
      </c>
      <c r="J18" s="59" t="n">
        <f aca="false">H18*H8*WorkDays+TruckPremium</f>
        <v>25800</v>
      </c>
      <c r="K18" s="51" t="n">
        <f aca="false">H8*WorkDays*DieselUse/100*CarbonPerLitre/1000</f>
        <v>85.4625</v>
      </c>
      <c r="L18" s="59" t="n">
        <f aca="false">IF(K18&gt;0,J18/K18,0)</f>
        <v>301.88679245283</v>
      </c>
      <c r="M18" s="60"/>
    </row>
    <row r="19" customFormat="false" ht="21.75" hidden="false" customHeight="true" outlineLevel="0" collapsed="false">
      <c r="B19" s="46" t="str">
        <f aca="false">B9</f>
        <v>D</v>
      </c>
      <c r="C19" s="47" t="str">
        <f aca="false">C9</f>
        <v>Klaipėda ↔ Vilnius</v>
      </c>
      <c r="D19" s="47"/>
      <c r="E19" s="31" t="n">
        <f aca="false">DieselUse/100*DieselPrice</f>
        <v>0.36</v>
      </c>
      <c r="F19" s="31" t="n">
        <f aca="false">DieselUse/100*CarbonPerLitre/1000*CarbonPrice</f>
        <v>0</v>
      </c>
      <c r="G19" s="31" t="n">
        <f aca="false">HydrogenUse/100*HydrogenPrice</f>
        <v>0.6</v>
      </c>
      <c r="H19" s="57" t="n">
        <f aca="false">G19-E19-F19-ZevTollSaving</f>
        <v>0.24</v>
      </c>
      <c r="I19" s="58" t="n">
        <f aca="false">H19*2*E9</f>
        <v>148.8</v>
      </c>
      <c r="J19" s="59" t="n">
        <f aca="false">H19*H9*WorkDays+TruckPremium</f>
        <v>37200</v>
      </c>
      <c r="K19" s="51" t="n">
        <f aca="false">H9*WorkDays*DieselUse/100*CarbonPerLitre/1000</f>
        <v>123.225</v>
      </c>
      <c r="L19" s="59" t="n">
        <f aca="false">IF(K19&gt;0,J19/K19,0)</f>
        <v>301.88679245283</v>
      </c>
      <c r="M19" s="60"/>
    </row>
    <row r="20" customFormat="false" ht="21.75" hidden="false" customHeight="true" outlineLevel="0" collapsed="false">
      <c r="B20" s="46" t="str">
        <f aca="false">B10</f>
        <v>E</v>
      </c>
      <c r="C20" s="47" t="str">
        <f aca="false">C10</f>
        <v>Klaipėda ↔ Riga</v>
      </c>
      <c r="D20" s="47"/>
      <c r="E20" s="31" t="n">
        <f aca="false">DieselUse/100*DieselPrice</f>
        <v>0.36</v>
      </c>
      <c r="F20" s="31" t="n">
        <f aca="false">DieselUse/100*CarbonPerLitre/1000*CarbonPrice</f>
        <v>0</v>
      </c>
      <c r="G20" s="31" t="n">
        <f aca="false">HydrogenUse/100*HydrogenPrice</f>
        <v>0.6</v>
      </c>
      <c r="H20" s="57" t="n">
        <f aca="false">G20-E20-F20-ZevTollSaving</f>
        <v>0.24</v>
      </c>
      <c r="I20" s="58" t="n">
        <f aca="false">H20*2*E10</f>
        <v>148.8</v>
      </c>
      <c r="J20" s="59" t="n">
        <f aca="false">H20*H10*WorkDays+TruckPremium</f>
        <v>37200</v>
      </c>
      <c r="K20" s="51" t="n">
        <f aca="false">H10*WorkDays*DieselUse/100*CarbonPerLitre/1000</f>
        <v>123.225</v>
      </c>
      <c r="L20" s="59" t="n">
        <f aca="false">IF(K20&gt;0,J20/K20,0)</f>
        <v>301.88679245283</v>
      </c>
      <c r="M20" s="60"/>
    </row>
    <row r="21" customFormat="false" ht="21.75" hidden="false" customHeight="true" outlineLevel="0" collapsed="false">
      <c r="B21" s="46" t="str">
        <f aca="false">B11</f>
        <v>F</v>
      </c>
      <c r="C21" s="47" t="str">
        <f aca="false">C11</f>
        <v>Klaipėda ↔ Marijampolė</v>
      </c>
      <c r="D21" s="47"/>
      <c r="E21" s="31" t="n">
        <f aca="false">DieselUse/100*DieselPrice</f>
        <v>0.36</v>
      </c>
      <c r="F21" s="31" t="n">
        <f aca="false">DieselUse/100*CarbonPerLitre/1000*CarbonPrice</f>
        <v>0</v>
      </c>
      <c r="G21" s="31" t="n">
        <f aca="false">HydrogenUse/100*HydrogenPrice</f>
        <v>0.6</v>
      </c>
      <c r="H21" s="57" t="n">
        <f aca="false">G21-E21-F21-ZevTollSaving</f>
        <v>0.24</v>
      </c>
      <c r="I21" s="58" t="n">
        <f aca="false">H21*2*E11</f>
        <v>132</v>
      </c>
      <c r="J21" s="59" t="n">
        <f aca="false">H21*H11*WorkDays+TruckPremium</f>
        <v>33000</v>
      </c>
      <c r="K21" s="51" t="n">
        <f aca="false">H11*WorkDays*DieselUse/100*CarbonPerLitre/1000</f>
        <v>109.3125</v>
      </c>
      <c r="L21" s="59" t="n">
        <f aca="false">IF(K21&gt;0,J21/K21,0)</f>
        <v>301.88679245283</v>
      </c>
      <c r="M21" s="60"/>
    </row>
    <row r="23" customFormat="false" ht="15" hidden="false" customHeight="false" outlineLevel="0" collapsed="false">
      <c r="B23" s="61" t="s">
        <v>92</v>
      </c>
    </row>
    <row r="24" customFormat="false" ht="15" hidden="false" customHeight="false" outlineLevel="0" collapsed="false">
      <c r="B24" s="62" t="s">
        <v>129</v>
      </c>
    </row>
    <row r="25" customFormat="false" ht="15" hidden="false" customHeight="false" outlineLevel="0" collapsed="false">
      <c r="B25" s="62" t="s">
        <v>130</v>
      </c>
    </row>
    <row r="26" customFormat="false" ht="15" hidden="false" customHeight="false" outlineLevel="0" collapsed="false">
      <c r="B26" s="62" t="s">
        <v>131</v>
      </c>
    </row>
    <row r="27" customFormat="false" ht="15" hidden="false" customHeight="false" outlineLevel="0" collapsed="false">
      <c r="B27" s="62" t="s">
        <v>132</v>
      </c>
    </row>
    <row r="28" customFormat="false" ht="15" hidden="false" customHeight="false" outlineLevel="0" collapsed="false">
      <c r="B28" s="62" t="s">
        <v>133</v>
      </c>
    </row>
  </sheetData>
  <mergeCells count="12">
    <mergeCell ref="B1:M1"/>
    <mergeCell ref="B2:M2"/>
    <mergeCell ref="B4:M4"/>
    <mergeCell ref="B12:F12"/>
    <mergeCell ref="B14:M14"/>
    <mergeCell ref="C15:D15"/>
    <mergeCell ref="C16:D16"/>
    <mergeCell ref="C17:D17"/>
    <mergeCell ref="C18:D18"/>
    <mergeCell ref="C19:D19"/>
    <mergeCell ref="C20:D20"/>
    <mergeCell ref="C21:D21"/>
  </mergeCells>
  <conditionalFormatting sqref="K6:K11">
    <cfRule type="expression" priority="2" aboveAverage="0" equalAverage="0" bottom="0" percent="0" rank="0" text="" dxfId="0">
      <formula>K6="Yes"</formula>
    </cfRule>
    <cfRule type="expression" priority="3" aboveAverage="0" equalAverage="0" bottom="0" percent="0" rank="0" text="" dxfId="1">
      <formula>K6&lt;&gt;"Yes"</formula>
    </cfRule>
  </conditionalFormatting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B57A"/>
    <pageSetUpPr fitToPage="true"/>
  </sheetPr>
  <dimension ref="B1:E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46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70"/>
  </cols>
  <sheetData>
    <row r="1" customFormat="false" ht="33.75" hidden="false" customHeight="true" outlineLevel="0" collapsed="false">
      <c r="B1" s="1" t="s">
        <v>134</v>
      </c>
      <c r="C1" s="1"/>
      <c r="D1" s="1"/>
      <c r="E1" s="1"/>
    </row>
    <row r="2" customFormat="false" ht="19.5" hidden="false" customHeight="true" outlineLevel="0" collapsed="false">
      <c r="B2" s="2" t="s">
        <v>135</v>
      </c>
      <c r="C2" s="2"/>
      <c r="D2" s="2"/>
      <c r="E2" s="2"/>
    </row>
    <row r="3" customFormat="false" ht="7.5" hidden="false" customHeight="true" outlineLevel="0" collapsed="false"/>
    <row r="4" customFormat="false" ht="24" hidden="false" customHeight="true" outlineLevel="0" collapsed="false">
      <c r="B4" s="3" t="s">
        <v>136</v>
      </c>
      <c r="C4" s="3"/>
      <c r="D4" s="3"/>
      <c r="E4" s="3"/>
    </row>
    <row r="5" customFormat="false" ht="21.75" hidden="false" customHeight="true" outlineLevel="0" collapsed="false">
      <c r="B5" s="14" t="s">
        <v>137</v>
      </c>
      <c r="C5" s="14" t="s">
        <v>43</v>
      </c>
      <c r="D5" s="14" t="s">
        <v>44</v>
      </c>
      <c r="E5" s="14" t="s">
        <v>138</v>
      </c>
    </row>
    <row r="6" customFormat="false" ht="19.5" hidden="false" customHeight="true" outlineLevel="0" collapsed="false">
      <c r="B6" s="30" t="s">
        <v>139</v>
      </c>
      <c r="C6" s="50" t="n">
        <f aca="false">PlantOutput</f>
        <v>127000</v>
      </c>
      <c r="D6" s="38" t="s">
        <v>48</v>
      </c>
      <c r="E6" s="39" t="s">
        <v>140</v>
      </c>
    </row>
    <row r="7" customFormat="false" ht="19.5" hidden="false" customHeight="true" outlineLevel="0" collapsed="false">
      <c r="B7" s="30" t="s">
        <v>141</v>
      </c>
      <c r="C7" s="50" t="n">
        <f aca="false">PlantOutput*PortOwnShare</f>
        <v>31750</v>
      </c>
      <c r="D7" s="38" t="s">
        <v>48</v>
      </c>
      <c r="E7" s="39" t="s">
        <v>142</v>
      </c>
    </row>
    <row r="8" customFormat="false" ht="19.5" hidden="false" customHeight="true" outlineLevel="0" collapsed="false">
      <c r="B8" s="30" t="s">
        <v>143</v>
      </c>
      <c r="C8" s="52" t="n">
        <f aca="false">C6-C7</f>
        <v>95250</v>
      </c>
      <c r="D8" s="38" t="s">
        <v>48</v>
      </c>
      <c r="E8" s="39" t="s">
        <v>144</v>
      </c>
    </row>
    <row r="9" customFormat="false" ht="19.5" hidden="false" customHeight="true" outlineLevel="0" collapsed="false">
      <c r="B9" s="30" t="s">
        <v>145</v>
      </c>
      <c r="C9" s="50" t="n">
        <f aca="false">C8/WorkDays</f>
        <v>381</v>
      </c>
      <c r="D9" s="38" t="s">
        <v>51</v>
      </c>
      <c r="E9" s="39" t="s">
        <v>146</v>
      </c>
    </row>
    <row r="11" customFormat="false" ht="24" hidden="false" customHeight="true" outlineLevel="0" collapsed="false">
      <c r="B11" s="3" t="s">
        <v>147</v>
      </c>
      <c r="C11" s="3"/>
      <c r="D11" s="3"/>
      <c r="E11" s="3"/>
    </row>
    <row r="12" customFormat="false" ht="21.75" hidden="false" customHeight="true" outlineLevel="0" collapsed="false">
      <c r="B12" s="14" t="s">
        <v>137</v>
      </c>
      <c r="C12" s="14" t="s">
        <v>43</v>
      </c>
      <c r="D12" s="14" t="s">
        <v>44</v>
      </c>
      <c r="E12" s="14" t="s">
        <v>138</v>
      </c>
    </row>
    <row r="13" customFormat="false" ht="19.5" hidden="false" customHeight="true" outlineLevel="0" collapsed="false">
      <c r="B13" s="30" t="s">
        <v>148</v>
      </c>
      <c r="C13" s="23" t="n">
        <f aca="false">Routes!M12</f>
        <v>55687.5</v>
      </c>
      <c r="D13" s="38" t="s">
        <v>48</v>
      </c>
      <c r="E13" s="39" t="s">
        <v>149</v>
      </c>
    </row>
    <row r="14" customFormat="false" ht="19.5" hidden="false" customHeight="true" outlineLevel="0" collapsed="false">
      <c r="B14" s="30" t="s">
        <v>150</v>
      </c>
      <c r="C14" s="63" t="n">
        <f aca="false">IF(C8&gt;0,C13/C8,0)</f>
        <v>0.584645669291339</v>
      </c>
      <c r="D14" s="38" t="s">
        <v>54</v>
      </c>
      <c r="E14" s="39" t="s">
        <v>151</v>
      </c>
    </row>
    <row r="15" customFormat="false" ht="19.5" hidden="false" customHeight="true" outlineLevel="0" collapsed="false">
      <c r="B15" s="30" t="s">
        <v>152</v>
      </c>
      <c r="C15" s="50" t="n">
        <f aca="false">C8-C13</f>
        <v>39562.5</v>
      </c>
      <c r="D15" s="38" t="s">
        <v>48</v>
      </c>
      <c r="E15" s="39" t="s">
        <v>153</v>
      </c>
    </row>
    <row r="16" customFormat="false" ht="19.5" hidden="false" customHeight="true" outlineLevel="0" collapsed="false">
      <c r="B16" s="30" t="s">
        <v>154</v>
      </c>
      <c r="C16" s="23" t="n">
        <f aca="false">SUMPRODUCT(Routes!I6:I11,Routes!G6:G11)</f>
        <v>222.75</v>
      </c>
      <c r="D16" s="38" t="s">
        <v>51</v>
      </c>
      <c r="E16" s="39" t="s">
        <v>155</v>
      </c>
    </row>
    <row r="17" customFormat="false" ht="19.5" hidden="false" customHeight="true" outlineLevel="0" collapsed="false">
      <c r="B17" s="30" t="s">
        <v>156</v>
      </c>
      <c r="C17" s="64" t="str">
        <f aca="false">IF(C16+C7/WorkDays&lt;=DailyCapacity,"Yes","No – add storage or stagger fills")</f>
        <v>Yes</v>
      </c>
      <c r="D17" s="38"/>
      <c r="E17" s="39" t="s">
        <v>157</v>
      </c>
    </row>
    <row r="18" customFormat="false" ht="19.5" hidden="false" customHeight="true" outlineLevel="0" collapsed="false">
      <c r="B18" s="30" t="s">
        <v>158</v>
      </c>
      <c r="C18" s="23" t="n">
        <f aca="false">Routes!G12</f>
        <v>10</v>
      </c>
      <c r="D18" s="38" t="s">
        <v>159</v>
      </c>
      <c r="E18" s="39" t="s">
        <v>160</v>
      </c>
    </row>
    <row r="19" customFormat="false" ht="19.5" hidden="false" customHeight="true" outlineLevel="0" collapsed="false">
      <c r="B19" s="30" t="s">
        <v>161</v>
      </c>
      <c r="C19" s="24" t="n">
        <f aca="false">IF(Routes!L7&gt;0,C8/Routes!L7,0)</f>
        <v>15.875</v>
      </c>
      <c r="D19" s="38" t="s">
        <v>159</v>
      </c>
      <c r="E19" s="39" t="s">
        <v>162</v>
      </c>
    </row>
    <row r="21" customFormat="false" ht="24" hidden="false" customHeight="true" outlineLevel="0" collapsed="false">
      <c r="B21" s="3" t="s">
        <v>43</v>
      </c>
      <c r="C21" s="3"/>
      <c r="D21" s="3"/>
      <c r="E21" s="3"/>
    </row>
    <row r="22" customFormat="false" ht="21.75" hidden="false" customHeight="true" outlineLevel="0" collapsed="false">
      <c r="B22" s="14" t="s">
        <v>137</v>
      </c>
      <c r="C22" s="14" t="s">
        <v>43</v>
      </c>
      <c r="D22" s="14" t="s">
        <v>44</v>
      </c>
      <c r="E22" s="14" t="s">
        <v>138</v>
      </c>
    </row>
    <row r="23" customFormat="false" ht="19.5" hidden="false" customHeight="true" outlineLevel="0" collapsed="false">
      <c r="B23" s="30" t="s">
        <v>163</v>
      </c>
      <c r="C23" s="58" t="n">
        <f aca="false">C13*HydrogenPrice</f>
        <v>445500</v>
      </c>
      <c r="D23" s="38" t="s">
        <v>164</v>
      </c>
      <c r="E23" s="39" t="s">
        <v>165</v>
      </c>
    </row>
    <row r="24" customFormat="false" ht="19.5" hidden="false" customHeight="true" outlineLevel="0" collapsed="false">
      <c r="B24" s="30" t="s">
        <v>166</v>
      </c>
      <c r="C24" s="59" t="n">
        <f aca="false">C8*HydrogenPrice</f>
        <v>762000</v>
      </c>
      <c r="D24" s="38" t="s">
        <v>164</v>
      </c>
      <c r="E24" s="39" t="s">
        <v>167</v>
      </c>
    </row>
    <row r="25" customFormat="false" ht="19.5" hidden="false" customHeight="true" outlineLevel="0" collapsed="false">
      <c r="B25" s="30" t="s">
        <v>168</v>
      </c>
      <c r="C25" s="24" t="n">
        <f aca="false">SUMPRODUCT(Routes!K16:K21,Routes!G6:G11)</f>
        <v>590.2875</v>
      </c>
      <c r="D25" s="38" t="s">
        <v>26</v>
      </c>
      <c r="E25" s="39" t="s">
        <v>169</v>
      </c>
    </row>
    <row r="26" customFormat="false" ht="19.5" hidden="false" customHeight="true" outlineLevel="0" collapsed="false">
      <c r="B26" s="30" t="s">
        <v>170</v>
      </c>
      <c r="C26" s="23" t="n">
        <f aca="false">Routes!M6+Routes!M7</f>
        <v>31500</v>
      </c>
      <c r="D26" s="38" t="s">
        <v>48</v>
      </c>
      <c r="E26" s="39" t="s">
        <v>171</v>
      </c>
    </row>
  </sheetData>
  <mergeCells count="5">
    <mergeCell ref="B1:E1"/>
    <mergeCell ref="B2:E2"/>
    <mergeCell ref="B4:E4"/>
    <mergeCell ref="B11:E11"/>
    <mergeCell ref="B21:E21"/>
  </mergeCells>
  <conditionalFormatting sqref="C17">
    <cfRule type="expression" priority="2" aboveAverage="0" equalAverage="0" bottom="0" percent="0" rank="0" text="" dxfId="0">
      <formula>C17="Yes"</formula>
    </cfRule>
    <cfRule type="expression" priority="3" aboveAverage="0" equalAverage="0" bottom="0" percent="0" rank="0" text="" dxfId="1">
      <formula>C17&lt;&gt;"Yes"</formula>
    </cfRule>
  </conditionalFormatting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9A23B"/>
    <pageSetUpPr fitToPage="true"/>
  </sheetPr>
  <dimension ref="B1:E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34"/>
    <col collapsed="false" customWidth="true" hidden="false" outlineLevel="0" max="3" min="3" style="0" width="24"/>
    <col collapsed="false" customWidth="true" hidden="false" outlineLevel="0" max="4" min="4" style="0" width="22"/>
    <col collapsed="false" customWidth="true" hidden="false" outlineLevel="0" max="5" min="5" style="0" width="58"/>
  </cols>
  <sheetData>
    <row r="1" customFormat="false" ht="33.75" hidden="false" customHeight="true" outlineLevel="0" collapsed="false">
      <c r="B1" s="1" t="s">
        <v>172</v>
      </c>
      <c r="C1" s="1"/>
      <c r="D1" s="1"/>
      <c r="E1" s="1"/>
    </row>
    <row r="2" customFormat="false" ht="19.5" hidden="false" customHeight="true" outlineLevel="0" collapsed="false">
      <c r="B2" s="2" t="s">
        <v>173</v>
      </c>
      <c r="C2" s="2"/>
      <c r="D2" s="2"/>
      <c r="E2" s="2"/>
    </row>
    <row r="3" customFormat="false" ht="7.5" hidden="false" customHeight="true" outlineLevel="0" collapsed="false"/>
    <row r="4" customFormat="false" ht="24" hidden="false" customHeight="true" outlineLevel="0" collapsed="false">
      <c r="B4" s="3" t="s">
        <v>174</v>
      </c>
      <c r="C4" s="3"/>
      <c r="D4" s="3"/>
      <c r="E4" s="3"/>
    </row>
    <row r="5" customFormat="false" ht="21.75" hidden="false" customHeight="true" outlineLevel="0" collapsed="false">
      <c r="B5" s="14" t="s">
        <v>137</v>
      </c>
      <c r="C5" s="14" t="s">
        <v>43</v>
      </c>
      <c r="D5" s="14" t="s">
        <v>44</v>
      </c>
      <c r="E5" s="14" t="s">
        <v>175</v>
      </c>
    </row>
    <row r="6" customFormat="false" ht="19.5" hidden="false" customHeight="true" outlineLevel="0" collapsed="false">
      <c r="B6" s="30" t="s">
        <v>176</v>
      </c>
      <c r="C6" s="65" t="n">
        <v>1500</v>
      </c>
      <c r="D6" s="38" t="s">
        <v>71</v>
      </c>
      <c r="E6" s="39" t="s">
        <v>177</v>
      </c>
    </row>
    <row r="7" customFormat="false" ht="19.5" hidden="false" customHeight="true" outlineLevel="0" collapsed="false">
      <c r="B7" s="30" t="s">
        <v>178</v>
      </c>
      <c r="C7" s="41" t="n">
        <v>8</v>
      </c>
      <c r="D7" s="38" t="s">
        <v>58</v>
      </c>
      <c r="E7" s="39" t="s">
        <v>179</v>
      </c>
    </row>
    <row r="8" customFormat="false" ht="19.5" hidden="false" customHeight="true" outlineLevel="0" collapsed="false">
      <c r="B8" s="30" t="s">
        <v>180</v>
      </c>
      <c r="C8" s="41" t="n">
        <v>12</v>
      </c>
      <c r="D8" s="38" t="s">
        <v>58</v>
      </c>
      <c r="E8" s="39" t="s">
        <v>181</v>
      </c>
    </row>
    <row r="9" customFormat="false" ht="19.5" hidden="false" customHeight="true" outlineLevel="0" collapsed="false">
      <c r="B9" s="30" t="s">
        <v>182</v>
      </c>
      <c r="C9" s="58" t="n">
        <f aca="false">C6*C7</f>
        <v>12000</v>
      </c>
      <c r="D9" s="38" t="s">
        <v>183</v>
      </c>
      <c r="E9" s="39" t="s">
        <v>184</v>
      </c>
    </row>
    <row r="10" customFormat="false" ht="19.5" hidden="false" customHeight="true" outlineLevel="0" collapsed="false">
      <c r="B10" s="30" t="s">
        <v>185</v>
      </c>
      <c r="C10" s="58" t="n">
        <f aca="false">C6*C8</f>
        <v>18000</v>
      </c>
      <c r="D10" s="38" t="s">
        <v>183</v>
      </c>
      <c r="E10" s="39" t="s">
        <v>186</v>
      </c>
    </row>
    <row r="11" customFormat="false" ht="19.5" hidden="false" customHeight="true" outlineLevel="0" collapsed="false">
      <c r="B11" s="30" t="s">
        <v>187</v>
      </c>
      <c r="C11" s="66" t="n">
        <f aca="false">C6/Capacity!C8</f>
        <v>0.015748031496063</v>
      </c>
      <c r="D11" s="38" t="s">
        <v>54</v>
      </c>
      <c r="E11" s="39" t="s">
        <v>188</v>
      </c>
    </row>
    <row r="12" customFormat="false" ht="19.5" hidden="false" customHeight="true" outlineLevel="0" collapsed="false">
      <c r="B12" s="30" t="s">
        <v>189</v>
      </c>
      <c r="C12" s="24" t="n">
        <f aca="false">C6/Capacity!C9</f>
        <v>3.93700787401575</v>
      </c>
      <c r="D12" s="38" t="s">
        <v>190</v>
      </c>
      <c r="E12" s="39" t="s">
        <v>191</v>
      </c>
    </row>
    <row r="14" customFormat="false" ht="24" hidden="false" customHeight="true" outlineLevel="0" collapsed="false">
      <c r="B14" s="3" t="s">
        <v>192</v>
      </c>
      <c r="C14" s="3"/>
      <c r="D14" s="3"/>
      <c r="E14" s="3"/>
    </row>
    <row r="15" customFormat="false" ht="21.75" hidden="false" customHeight="true" outlineLevel="0" collapsed="false">
      <c r="B15" s="14" t="s">
        <v>193</v>
      </c>
      <c r="C15" s="14" t="s">
        <v>194</v>
      </c>
      <c r="D15" s="14" t="s">
        <v>195</v>
      </c>
      <c r="E15" s="14" t="s">
        <v>196</v>
      </c>
    </row>
    <row r="16" customFormat="false" ht="19.5" hidden="false" customHeight="true" outlineLevel="0" collapsed="false">
      <c r="B16" s="47" t="s">
        <v>197</v>
      </c>
      <c r="C16" s="30" t="s">
        <v>198</v>
      </c>
      <c r="D16" s="37" t="n">
        <v>150</v>
      </c>
      <c r="E16" s="38" t="s">
        <v>199</v>
      </c>
    </row>
    <row r="17" customFormat="false" ht="19.5" hidden="false" customHeight="true" outlineLevel="0" collapsed="false">
      <c r="B17" s="47" t="s">
        <v>200</v>
      </c>
      <c r="C17" s="30" t="s">
        <v>201</v>
      </c>
      <c r="D17" s="37" t="n">
        <v>245</v>
      </c>
      <c r="E17" s="38" t="s">
        <v>202</v>
      </c>
    </row>
    <row r="19" customFormat="false" ht="15" hidden="false" customHeight="false" outlineLevel="0" collapsed="false">
      <c r="B19" s="62" t="s">
        <v>203</v>
      </c>
    </row>
  </sheetData>
  <mergeCells count="4">
    <mergeCell ref="B1:E1"/>
    <mergeCell ref="B2:E2"/>
    <mergeCell ref="B4:E4"/>
    <mergeCell ref="B14:E14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2413B"/>
    <pageSetUpPr fitToPage="true"/>
  </sheetPr>
  <dimension ref="B1:I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30"/>
    <col collapsed="false" customWidth="true" hidden="false" outlineLevel="0" max="7" min="3" style="0" width="13"/>
    <col collapsed="false" customWidth="true" hidden="false" outlineLevel="0" max="8" min="8" style="0" width="4"/>
    <col collapsed="false" customWidth="true" hidden="false" outlineLevel="0" max="9" min="9" style="0" width="44"/>
  </cols>
  <sheetData>
    <row r="1" customFormat="false" ht="33.75" hidden="false" customHeight="true" outlineLevel="0" collapsed="false">
      <c r="B1" s="1" t="s">
        <v>204</v>
      </c>
      <c r="C1" s="1"/>
      <c r="D1" s="1"/>
      <c r="E1" s="1"/>
      <c r="F1" s="1"/>
      <c r="G1" s="1"/>
      <c r="H1" s="1"/>
      <c r="I1" s="1"/>
    </row>
    <row r="2" customFormat="false" ht="19.5" hidden="false" customHeight="true" outlineLevel="0" collapsed="false">
      <c r="B2" s="2" t="s">
        <v>205</v>
      </c>
      <c r="C2" s="2"/>
      <c r="D2" s="2"/>
      <c r="E2" s="2"/>
      <c r="F2" s="2"/>
      <c r="G2" s="2"/>
      <c r="H2" s="2"/>
      <c r="I2" s="2"/>
    </row>
    <row r="3" customFormat="false" ht="7.5" hidden="false" customHeight="true" outlineLevel="0" collapsed="false"/>
    <row r="4" customFormat="false" ht="24" hidden="false" customHeight="true" outlineLevel="0" collapsed="false">
      <c r="B4" s="3" t="s">
        <v>206</v>
      </c>
      <c r="C4" s="3"/>
      <c r="D4" s="3"/>
      <c r="E4" s="3"/>
      <c r="F4" s="3"/>
      <c r="G4" s="3"/>
    </row>
    <row r="5" customFormat="false" ht="15" hidden="false" customHeight="false" outlineLevel="0" collapsed="false">
      <c r="B5" s="67" t="s">
        <v>207</v>
      </c>
      <c r="C5" s="68" t="n">
        <v>0</v>
      </c>
      <c r="D5" s="68" t="n">
        <v>45</v>
      </c>
      <c r="E5" s="68" t="n">
        <v>70</v>
      </c>
      <c r="F5" s="68" t="n">
        <v>100</v>
      </c>
      <c r="G5" s="68" t="n">
        <v>200</v>
      </c>
      <c r="I5" s="69" t="s">
        <v>208</v>
      </c>
    </row>
    <row r="6" customFormat="false" ht="18.75" hidden="false" customHeight="true" outlineLevel="0" collapsed="false">
      <c r="B6" s="70" t="n">
        <v>5</v>
      </c>
      <c r="C6" s="31" t="n">
        <f aca="false">$B6*HydrogenUse/100-DieselUse/100*(DieselPrice+CarbonPerLitre/1000*C$5)-ZevTollSaving</f>
        <v>0.015</v>
      </c>
      <c r="D6" s="31" t="n">
        <f aca="false">$B6*HydrogenUse/100-DieselUse/100*(DieselPrice+CarbonPerLitre/1000*D$5)-ZevTollSaving</f>
        <v>-0.020775</v>
      </c>
      <c r="E6" s="31" t="n">
        <f aca="false">$B6*HydrogenUse/100-DieselUse/100*(DieselPrice+CarbonPerLitre/1000*E$5)-ZevTollSaving</f>
        <v>-0.04065</v>
      </c>
      <c r="F6" s="31" t="n">
        <f aca="false">$B6*HydrogenUse/100-DieselUse/100*(DieselPrice+CarbonPerLitre/1000*F$5)-ZevTollSaving</f>
        <v>-0.0645</v>
      </c>
      <c r="G6" s="31" t="n">
        <f aca="false">$B6*HydrogenUse/100-DieselUse/100*(DieselPrice+CarbonPerLitre/1000*G$5)-ZevTollSaving</f>
        <v>-0.144</v>
      </c>
      <c r="I6" s="71" t="s">
        <v>209</v>
      </c>
    </row>
    <row r="7" customFormat="false" ht="18.75" hidden="false" customHeight="true" outlineLevel="0" collapsed="false">
      <c r="B7" s="70" t="n">
        <v>6</v>
      </c>
      <c r="C7" s="31" t="n">
        <f aca="false">$B7*HydrogenUse/100-DieselUse/100*(DieselPrice+CarbonPerLitre/1000*C$5)-ZevTollSaving</f>
        <v>0.09</v>
      </c>
      <c r="D7" s="31" t="n">
        <f aca="false">$B7*HydrogenUse/100-DieselUse/100*(DieselPrice+CarbonPerLitre/1000*D$5)-ZevTollSaving</f>
        <v>0.054225</v>
      </c>
      <c r="E7" s="31" t="n">
        <f aca="false">$B7*HydrogenUse/100-DieselUse/100*(DieselPrice+CarbonPerLitre/1000*E$5)-ZevTollSaving</f>
        <v>0.0343500000000001</v>
      </c>
      <c r="F7" s="31" t="n">
        <f aca="false">$B7*HydrogenUse/100-DieselUse/100*(DieselPrice+CarbonPerLitre/1000*F$5)-ZevTollSaving</f>
        <v>0.0105000000000001</v>
      </c>
      <c r="G7" s="31" t="n">
        <f aca="false">$B7*HydrogenUse/100-DieselUse/100*(DieselPrice+CarbonPerLitre/1000*G$5)-ZevTollSaving</f>
        <v>-0.069</v>
      </c>
      <c r="I7" s="71" t="s">
        <v>210</v>
      </c>
    </row>
    <row r="8" customFormat="false" ht="18.75" hidden="false" customHeight="true" outlineLevel="0" collapsed="false">
      <c r="B8" s="70" t="n">
        <v>7</v>
      </c>
      <c r="C8" s="31" t="n">
        <f aca="false">$B8*HydrogenUse/100-DieselUse/100*(DieselPrice+CarbonPerLitre/1000*C$5)-ZevTollSaving</f>
        <v>0.165</v>
      </c>
      <c r="D8" s="31" t="n">
        <f aca="false">$B8*HydrogenUse/100-DieselUse/100*(DieselPrice+CarbonPerLitre/1000*D$5)-ZevTollSaving</f>
        <v>0.129225</v>
      </c>
      <c r="E8" s="31" t="n">
        <f aca="false">$B8*HydrogenUse/100-DieselUse/100*(DieselPrice+CarbonPerLitre/1000*E$5)-ZevTollSaving</f>
        <v>0.10935</v>
      </c>
      <c r="F8" s="31" t="n">
        <f aca="false">$B8*HydrogenUse/100-DieselUse/100*(DieselPrice+CarbonPerLitre/1000*F$5)-ZevTollSaving</f>
        <v>0.0855000000000001</v>
      </c>
      <c r="G8" s="31" t="n">
        <f aca="false">$B8*HydrogenUse/100-DieselUse/100*(DieselPrice+CarbonPerLitre/1000*G$5)-ZevTollSaving</f>
        <v>0.00600000000000001</v>
      </c>
      <c r="I8" s="71" t="s">
        <v>211</v>
      </c>
    </row>
    <row r="9" customFormat="false" ht="18.75" hidden="false" customHeight="true" outlineLevel="0" collapsed="false">
      <c r="B9" s="70" t="n">
        <v>8</v>
      </c>
      <c r="C9" s="31" t="n">
        <f aca="false">$B9*HydrogenUse/100-DieselUse/100*(DieselPrice+CarbonPerLitre/1000*C$5)-ZevTollSaving</f>
        <v>0.24</v>
      </c>
      <c r="D9" s="31" t="n">
        <f aca="false">$B9*HydrogenUse/100-DieselUse/100*(DieselPrice+CarbonPerLitre/1000*D$5)-ZevTollSaving</f>
        <v>0.204225</v>
      </c>
      <c r="E9" s="31" t="n">
        <f aca="false">$B9*HydrogenUse/100-DieselUse/100*(DieselPrice+CarbonPerLitre/1000*E$5)-ZevTollSaving</f>
        <v>0.18435</v>
      </c>
      <c r="F9" s="31" t="n">
        <f aca="false">$B9*HydrogenUse/100-DieselUse/100*(DieselPrice+CarbonPerLitre/1000*F$5)-ZevTollSaving</f>
        <v>0.1605</v>
      </c>
      <c r="G9" s="31" t="n">
        <f aca="false">$B9*HydrogenUse/100-DieselUse/100*(DieselPrice+CarbonPerLitre/1000*G$5)-ZevTollSaving</f>
        <v>0.081</v>
      </c>
      <c r="I9" s="71"/>
    </row>
    <row r="10" customFormat="false" ht="18.75" hidden="false" customHeight="true" outlineLevel="0" collapsed="false">
      <c r="B10" s="70" t="n">
        <v>9</v>
      </c>
      <c r="C10" s="31" t="n">
        <f aca="false">$B10*HydrogenUse/100-DieselUse/100*(DieselPrice+CarbonPerLitre/1000*C$5)-ZevTollSaving</f>
        <v>0.315</v>
      </c>
      <c r="D10" s="31" t="n">
        <f aca="false">$B10*HydrogenUse/100-DieselUse/100*(DieselPrice+CarbonPerLitre/1000*D$5)-ZevTollSaving</f>
        <v>0.279225</v>
      </c>
      <c r="E10" s="31" t="n">
        <f aca="false">$B10*HydrogenUse/100-DieselUse/100*(DieselPrice+CarbonPerLitre/1000*E$5)-ZevTollSaving</f>
        <v>0.25935</v>
      </c>
      <c r="F10" s="31" t="n">
        <f aca="false">$B10*HydrogenUse/100-DieselUse/100*(DieselPrice+CarbonPerLitre/1000*F$5)-ZevTollSaving</f>
        <v>0.2355</v>
      </c>
      <c r="G10" s="31" t="n">
        <f aca="false">$B10*HydrogenUse/100-DieselUse/100*(DieselPrice+CarbonPerLitre/1000*G$5)-ZevTollSaving</f>
        <v>0.156</v>
      </c>
      <c r="I10" s="69" t="s">
        <v>212</v>
      </c>
    </row>
    <row r="11" customFormat="false" ht="18.75" hidden="false" customHeight="true" outlineLevel="0" collapsed="false">
      <c r="B11" s="70" t="n">
        <v>10</v>
      </c>
      <c r="C11" s="31" t="n">
        <f aca="false">$B11*HydrogenUse/100-DieselUse/100*(DieselPrice+CarbonPerLitre/1000*C$5)-ZevTollSaving</f>
        <v>0.39</v>
      </c>
      <c r="D11" s="31" t="n">
        <f aca="false">$B11*HydrogenUse/100-DieselUse/100*(DieselPrice+CarbonPerLitre/1000*D$5)-ZevTollSaving</f>
        <v>0.354225</v>
      </c>
      <c r="E11" s="31" t="n">
        <f aca="false">$B11*HydrogenUse/100-DieselUse/100*(DieselPrice+CarbonPerLitre/1000*E$5)-ZevTollSaving</f>
        <v>0.33435</v>
      </c>
      <c r="F11" s="31" t="n">
        <f aca="false">$B11*HydrogenUse/100-DieselUse/100*(DieselPrice+CarbonPerLitre/1000*F$5)-ZevTollSaving</f>
        <v>0.3105</v>
      </c>
      <c r="G11" s="31" t="n">
        <f aca="false">$B11*HydrogenUse/100-DieselUse/100*(DieselPrice+CarbonPerLitre/1000*G$5)-ZevTollSaving</f>
        <v>0.231</v>
      </c>
      <c r="I11" s="71" t="s">
        <v>213</v>
      </c>
    </row>
    <row r="12" customFormat="false" ht="18.75" hidden="false" customHeight="true" outlineLevel="0" collapsed="false">
      <c r="B12" s="70" t="n">
        <v>11</v>
      </c>
      <c r="C12" s="31" t="n">
        <f aca="false">$B12*HydrogenUse/100-DieselUse/100*(DieselPrice+CarbonPerLitre/1000*C$5)-ZevTollSaving</f>
        <v>0.465</v>
      </c>
      <c r="D12" s="31" t="n">
        <f aca="false">$B12*HydrogenUse/100-DieselUse/100*(DieselPrice+CarbonPerLitre/1000*D$5)-ZevTollSaving</f>
        <v>0.429225</v>
      </c>
      <c r="E12" s="31" t="n">
        <f aca="false">$B12*HydrogenUse/100-DieselUse/100*(DieselPrice+CarbonPerLitre/1000*E$5)-ZevTollSaving</f>
        <v>0.40935</v>
      </c>
      <c r="F12" s="31" t="n">
        <f aca="false">$B12*HydrogenUse/100-DieselUse/100*(DieselPrice+CarbonPerLitre/1000*F$5)-ZevTollSaving</f>
        <v>0.3855</v>
      </c>
      <c r="G12" s="31" t="n">
        <f aca="false">$B12*HydrogenUse/100-DieselUse/100*(DieselPrice+CarbonPerLitre/1000*G$5)-ZevTollSaving</f>
        <v>0.306</v>
      </c>
      <c r="I12" s="71" t="s">
        <v>214</v>
      </c>
    </row>
    <row r="13" customFormat="false" ht="18.75" hidden="false" customHeight="true" outlineLevel="0" collapsed="false">
      <c r="B13" s="70" t="n">
        <v>12</v>
      </c>
      <c r="C13" s="31" t="n">
        <f aca="false">$B13*HydrogenUse/100-DieselUse/100*(DieselPrice+CarbonPerLitre/1000*C$5)-ZevTollSaving</f>
        <v>0.54</v>
      </c>
      <c r="D13" s="31" t="n">
        <f aca="false">$B13*HydrogenUse/100-DieselUse/100*(DieselPrice+CarbonPerLitre/1000*D$5)-ZevTollSaving</f>
        <v>0.504225</v>
      </c>
      <c r="E13" s="31" t="n">
        <f aca="false">$B13*HydrogenUse/100-DieselUse/100*(DieselPrice+CarbonPerLitre/1000*E$5)-ZevTollSaving</f>
        <v>0.48435</v>
      </c>
      <c r="F13" s="31" t="n">
        <f aca="false">$B13*HydrogenUse/100-DieselUse/100*(DieselPrice+CarbonPerLitre/1000*F$5)-ZevTollSaving</f>
        <v>0.4605</v>
      </c>
      <c r="G13" s="31" t="n">
        <f aca="false">$B13*HydrogenUse/100-DieselUse/100*(DieselPrice+CarbonPerLitre/1000*G$5)-ZevTollSaving</f>
        <v>0.381</v>
      </c>
      <c r="I13" s="71"/>
    </row>
    <row r="14" customFormat="false" ht="18.75" hidden="false" customHeight="true" outlineLevel="0" collapsed="false">
      <c r="B14" s="70" t="n">
        <v>13</v>
      </c>
      <c r="C14" s="31" t="n">
        <f aca="false">$B14*HydrogenUse/100-DieselUse/100*(DieselPrice+CarbonPerLitre/1000*C$5)-ZevTollSaving</f>
        <v>0.615</v>
      </c>
      <c r="D14" s="31" t="n">
        <f aca="false">$B14*HydrogenUse/100-DieselUse/100*(DieselPrice+CarbonPerLitre/1000*D$5)-ZevTollSaving</f>
        <v>0.579225</v>
      </c>
      <c r="E14" s="31" t="n">
        <f aca="false">$B14*HydrogenUse/100-DieselUse/100*(DieselPrice+CarbonPerLitre/1000*E$5)-ZevTollSaving</f>
        <v>0.55935</v>
      </c>
      <c r="F14" s="31" t="n">
        <f aca="false">$B14*HydrogenUse/100-DieselUse/100*(DieselPrice+CarbonPerLitre/1000*F$5)-ZevTollSaving</f>
        <v>0.5355</v>
      </c>
      <c r="G14" s="31" t="n">
        <f aca="false">$B14*HydrogenUse/100-DieselUse/100*(DieselPrice+CarbonPerLitre/1000*G$5)-ZevTollSaving</f>
        <v>0.456</v>
      </c>
      <c r="I14" s="69" t="s">
        <v>215</v>
      </c>
    </row>
    <row r="15" customFormat="false" ht="18.75" hidden="false" customHeight="true" outlineLevel="0" collapsed="false">
      <c r="B15" s="70" t="n">
        <v>14</v>
      </c>
      <c r="C15" s="31" t="n">
        <f aca="false">$B15*HydrogenUse/100-DieselUse/100*(DieselPrice+CarbonPerLitre/1000*C$5)-ZevTollSaving</f>
        <v>0.69</v>
      </c>
      <c r="D15" s="31" t="n">
        <f aca="false">$B15*HydrogenUse/100-DieselUse/100*(DieselPrice+CarbonPerLitre/1000*D$5)-ZevTollSaving</f>
        <v>0.654225</v>
      </c>
      <c r="E15" s="31" t="n">
        <f aca="false">$B15*HydrogenUse/100-DieselUse/100*(DieselPrice+CarbonPerLitre/1000*E$5)-ZevTollSaving</f>
        <v>0.63435</v>
      </c>
      <c r="F15" s="31" t="n">
        <f aca="false">$B15*HydrogenUse/100-DieselUse/100*(DieselPrice+CarbonPerLitre/1000*F$5)-ZevTollSaving</f>
        <v>0.6105</v>
      </c>
      <c r="G15" s="31" t="n">
        <f aca="false">$B15*HydrogenUse/100-DieselUse/100*(DieselPrice+CarbonPerLitre/1000*G$5)-ZevTollSaving</f>
        <v>0.531</v>
      </c>
      <c r="I15" s="71" t="s">
        <v>216</v>
      </c>
    </row>
    <row r="17" customFormat="false" ht="21.75" hidden="false" customHeight="true" outlineLevel="0" collapsed="false">
      <c r="B17" s="72" t="s">
        <v>217</v>
      </c>
      <c r="C17" s="73" t="n">
        <f aca="false">(DieselUse/100*(DieselPrice+CarbonPerLitre/1000*C$5)+ZevTollSaving)/(HydrogenUse/100)</f>
        <v>4.8</v>
      </c>
      <c r="D17" s="73" t="n">
        <f aca="false">(DieselUse/100*(DieselPrice+CarbonPerLitre/1000*D$5)+ZevTollSaving)/(HydrogenUse/100)</f>
        <v>5.277</v>
      </c>
      <c r="E17" s="73" t="n">
        <f aca="false">(DieselUse/100*(DieselPrice+CarbonPerLitre/1000*E$5)+ZevTollSaving)/(HydrogenUse/100)</f>
        <v>5.542</v>
      </c>
      <c r="F17" s="73" t="n">
        <f aca="false">(DieselUse/100*(DieselPrice+CarbonPerLitre/1000*F$5)+ZevTollSaving)/(HydrogenUse/100)</f>
        <v>5.86</v>
      </c>
      <c r="G17" s="73" t="n">
        <f aca="false">(DieselUse/100*(DieselPrice+CarbonPerLitre/1000*G$5)+ZevTollSaving)/(HydrogenUse/100)</f>
        <v>6.92</v>
      </c>
    </row>
  </sheetData>
  <mergeCells count="3">
    <mergeCell ref="B1:I1"/>
    <mergeCell ref="B2:I2"/>
    <mergeCell ref="B4:G4"/>
  </mergeCells>
  <conditionalFormatting sqref="C6:G15">
    <cfRule type="colorScale" priority="2">
      <colorScale>
        <cfvo type="num" val="-0.3"/>
        <cfvo type="num" val="0"/>
        <cfvo type="num" val="0.7"/>
        <color rgb="FF1FB57A"/>
        <color rgb="FFFFFFFF"/>
        <color rgb="FFE8837C"/>
      </colorScale>
    </cfRule>
  </conditionalFormatting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DA9C4"/>
    <pageSetUpPr fitToPage="true"/>
  </sheetPr>
  <dimension ref="B1:C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28"/>
    <col collapsed="false" customWidth="true" hidden="false" outlineLevel="0" max="3" min="3" style="0" width="100"/>
  </cols>
  <sheetData>
    <row r="1" customFormat="false" ht="33.75" hidden="false" customHeight="true" outlineLevel="0" collapsed="false">
      <c r="B1" s="1" t="s">
        <v>218</v>
      </c>
      <c r="C1" s="1"/>
    </row>
    <row r="2" customFormat="false" ht="19.5" hidden="false" customHeight="true" outlineLevel="0" collapsed="false">
      <c r="B2" s="2" t="s">
        <v>219</v>
      </c>
      <c r="C2" s="2"/>
    </row>
    <row r="3" customFormat="false" ht="7.5" hidden="false" customHeight="true" outlineLevel="0" collapsed="false"/>
    <row r="4" customFormat="false" ht="24" hidden="false" customHeight="true" outlineLevel="0" collapsed="false">
      <c r="B4" s="3" t="s">
        <v>220</v>
      </c>
      <c r="C4" s="3"/>
    </row>
    <row r="5" customFormat="false" ht="30" hidden="false" customHeight="true" outlineLevel="0" collapsed="false">
      <c r="B5" s="74" t="s">
        <v>221</v>
      </c>
      <c r="C5" s="74"/>
    </row>
    <row r="7" customFormat="false" ht="24" hidden="false" customHeight="true" outlineLevel="0" collapsed="false">
      <c r="B7" s="3" t="s">
        <v>222</v>
      </c>
      <c r="C7" s="3"/>
    </row>
    <row r="8" customFormat="false" ht="15" hidden="false" customHeight="false" outlineLevel="0" collapsed="false">
      <c r="B8" s="75" t="s">
        <v>223</v>
      </c>
      <c r="C8" s="76" t="s">
        <v>224</v>
      </c>
    </row>
    <row r="9" customFormat="false" ht="15" hidden="false" customHeight="false" outlineLevel="0" collapsed="false">
      <c r="B9" s="75" t="s">
        <v>35</v>
      </c>
      <c r="C9" s="76" t="s">
        <v>225</v>
      </c>
    </row>
    <row r="10" customFormat="false" ht="15" hidden="false" customHeight="false" outlineLevel="0" collapsed="false">
      <c r="B10" s="75" t="s">
        <v>89</v>
      </c>
      <c r="C10" s="76" t="s">
        <v>226</v>
      </c>
    </row>
    <row r="11" customFormat="false" ht="15" hidden="false" customHeight="false" outlineLevel="0" collapsed="false">
      <c r="B11" s="75" t="s">
        <v>134</v>
      </c>
      <c r="C11" s="76" t="s">
        <v>227</v>
      </c>
    </row>
    <row r="12" customFormat="false" ht="15" hidden="false" customHeight="false" outlineLevel="0" collapsed="false">
      <c r="B12" s="75" t="s">
        <v>172</v>
      </c>
      <c r="C12" s="76" t="s">
        <v>228</v>
      </c>
    </row>
    <row r="13" customFormat="false" ht="15" hidden="false" customHeight="false" outlineLevel="0" collapsed="false">
      <c r="B13" s="75" t="s">
        <v>204</v>
      </c>
      <c r="C13" s="76" t="s">
        <v>229</v>
      </c>
    </row>
    <row r="15" customFormat="false" ht="24" hidden="false" customHeight="true" outlineLevel="0" collapsed="false">
      <c r="B15" s="3" t="s">
        <v>230</v>
      </c>
      <c r="C15" s="3"/>
    </row>
    <row r="16" customFormat="false" ht="15" hidden="false" customHeight="false" outlineLevel="0" collapsed="false">
      <c r="B16" s="77" t="s">
        <v>231</v>
      </c>
      <c r="C16" s="76" t="s">
        <v>232</v>
      </c>
    </row>
    <row r="17" customFormat="false" ht="15" hidden="false" customHeight="false" outlineLevel="0" collapsed="false">
      <c r="B17" s="46" t="s">
        <v>231</v>
      </c>
      <c r="C17" s="76" t="s">
        <v>233</v>
      </c>
    </row>
    <row r="18" customFormat="false" ht="15" hidden="false" customHeight="false" outlineLevel="0" collapsed="false">
      <c r="B18" s="21" t="s">
        <v>231</v>
      </c>
      <c r="C18" s="76" t="s">
        <v>234</v>
      </c>
    </row>
    <row r="19" customFormat="false" ht="15" hidden="false" customHeight="false" outlineLevel="0" collapsed="false">
      <c r="B19" s="78" t="s">
        <v>231</v>
      </c>
      <c r="C19" s="76" t="s">
        <v>235</v>
      </c>
    </row>
    <row r="20" customFormat="false" ht="15" hidden="false" customHeight="false" outlineLevel="0" collapsed="false">
      <c r="B20" s="79" t="s">
        <v>236</v>
      </c>
      <c r="C20" s="76" t="s">
        <v>237</v>
      </c>
    </row>
    <row r="22" customFormat="false" ht="24" hidden="false" customHeight="true" outlineLevel="0" collapsed="false">
      <c r="B22" s="3" t="s">
        <v>238</v>
      </c>
      <c r="C22" s="3"/>
    </row>
    <row r="23" customFormat="false" ht="15" hidden="false" customHeight="false" outlineLevel="0" collapsed="false">
      <c r="B23" s="80" t="s">
        <v>239</v>
      </c>
      <c r="C23" s="80"/>
    </row>
    <row r="24" customFormat="false" ht="15" hidden="false" customHeight="false" outlineLevel="0" collapsed="false">
      <c r="B24" s="80" t="s">
        <v>240</v>
      </c>
      <c r="C24" s="80"/>
    </row>
    <row r="25" customFormat="false" ht="15" hidden="false" customHeight="false" outlineLevel="0" collapsed="false">
      <c r="B25" s="80" t="s">
        <v>241</v>
      </c>
      <c r="C25" s="80"/>
    </row>
    <row r="27" customFormat="false" ht="24" hidden="false" customHeight="true" outlineLevel="0" collapsed="false">
      <c r="B27" s="3" t="s">
        <v>242</v>
      </c>
      <c r="C27" s="3"/>
    </row>
    <row r="28" customFormat="false" ht="15" hidden="false" customHeight="false" outlineLevel="0" collapsed="false">
      <c r="B28" s="81" t="s">
        <v>243</v>
      </c>
      <c r="C28" s="81"/>
    </row>
    <row r="29" customFormat="false" ht="15" hidden="false" customHeight="false" outlineLevel="0" collapsed="false">
      <c r="B29" s="81" t="s">
        <v>244</v>
      </c>
      <c r="C29" s="81"/>
    </row>
    <row r="30" customFormat="false" ht="15" hidden="false" customHeight="false" outlineLevel="0" collapsed="false">
      <c r="B30" s="81" t="s">
        <v>245</v>
      </c>
      <c r="C30" s="81"/>
    </row>
    <row r="32" customFormat="false" ht="24" hidden="false" customHeight="true" outlineLevel="0" collapsed="false">
      <c r="B32" s="3" t="s">
        <v>246</v>
      </c>
      <c r="C32" s="3"/>
    </row>
    <row r="33" customFormat="false" ht="15" hidden="false" customHeight="true" outlineLevel="0" collapsed="false">
      <c r="B33" s="82" t="s">
        <v>247</v>
      </c>
      <c r="C33" s="82"/>
    </row>
    <row r="34" customFormat="false" ht="15" hidden="false" customHeight="true" outlineLevel="0" collapsed="false">
      <c r="B34" s="82" t="s">
        <v>248</v>
      </c>
      <c r="C34" s="82"/>
    </row>
    <row r="35" customFormat="false" ht="15" hidden="false" customHeight="true" outlineLevel="0" collapsed="false">
      <c r="B35" s="82" t="s">
        <v>249</v>
      </c>
      <c r="C35" s="82"/>
    </row>
    <row r="36" customFormat="false" ht="15" hidden="false" customHeight="true" outlineLevel="0" collapsed="false">
      <c r="B36" s="82" t="s">
        <v>250</v>
      </c>
      <c r="C36" s="82"/>
    </row>
    <row r="37" customFormat="false" ht="15" hidden="false" customHeight="true" outlineLevel="0" collapsed="false">
      <c r="B37" s="82" t="s">
        <v>251</v>
      </c>
      <c r="C37" s="82"/>
    </row>
    <row r="39" customFormat="false" ht="24" hidden="false" customHeight="true" outlineLevel="0" collapsed="false">
      <c r="B39" s="3" t="s">
        <v>252</v>
      </c>
      <c r="C39" s="3"/>
    </row>
    <row r="40" customFormat="false" ht="15" hidden="false" customHeight="false" outlineLevel="0" collapsed="false">
      <c r="B40" s="83" t="s">
        <v>253</v>
      </c>
      <c r="C40" s="83"/>
    </row>
  </sheetData>
  <mergeCells count="22">
    <mergeCell ref="B1:C1"/>
    <mergeCell ref="B2:C2"/>
    <mergeCell ref="B4:C4"/>
    <mergeCell ref="B5:C5"/>
    <mergeCell ref="B7:C7"/>
    <mergeCell ref="B15:C15"/>
    <mergeCell ref="B22:C22"/>
    <mergeCell ref="B23:C23"/>
    <mergeCell ref="B24:C24"/>
    <mergeCell ref="B25:C25"/>
    <mergeCell ref="B27:C27"/>
    <mergeCell ref="B28:C28"/>
    <mergeCell ref="B29:C29"/>
    <mergeCell ref="B30:C30"/>
    <mergeCell ref="B32:C32"/>
    <mergeCell ref="B33:C33"/>
    <mergeCell ref="B34:C34"/>
    <mergeCell ref="B35:C35"/>
    <mergeCell ref="B36:C36"/>
    <mergeCell ref="B37:C37"/>
    <mergeCell ref="B39:C39"/>
    <mergeCell ref="B40:C40"/>
  </mergeCells>
  <hyperlinks>
    <hyperlink ref="B8" location="'Dashboard'!A1" display="Dashboard"/>
    <hyperlink ref="B9" location="'Inputs'!A1" display="Inputs"/>
    <hyperlink ref="B10" location="'Routes'!A1" display="Routes"/>
    <hyperlink ref="B11" location="'Capacity'!A1" display="Capacity"/>
    <hyperlink ref="B12" location="'Bridge Sale'!A1" display="Bridge Sale"/>
    <hyperlink ref="B13" location="'Sensitivity'!A1" display="Sensitivity"/>
  </hyperlink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2026-09-27T08:58:16Z</dcterms:created>
  <dc:creator>openpyxl</dc:creator>
  <dc:description/>
  <dc:language>en-US</dc:language>
  <cp:lastModifiedBy/>
  <dcterms:modified xsi:type="dcterms:W3CDTF">2026-09-27T08:58:18Z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